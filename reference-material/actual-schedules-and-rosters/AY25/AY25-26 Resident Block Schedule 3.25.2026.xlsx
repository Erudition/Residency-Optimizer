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ahealthcare-my.sharepoint.com/personal/nju5626_hca_corpad_net/Documents/Documents/2INTERNAL MEDICINE/2025-2026/ROTATIONS/"/>
    </mc:Choice>
  </mc:AlternateContent>
  <xr:revisionPtr revIDLastSave="0" documentId="8_{AA5016B0-C237-4521-9248-BC95D8127BA7}" xr6:coauthVersionLast="47" xr6:coauthVersionMax="47" xr10:uidLastSave="{00000000-0000-0000-0000-000000000000}"/>
  <bookViews>
    <workbookView xWindow="28680" yWindow="-120" windowWidth="29040" windowHeight="15720" xr2:uid="{37B29A9E-B7D8-44E6-B1CA-3B038672DCE5}"/>
  </bookViews>
  <sheets>
    <sheet name="AY2025-2026" sheetId="1" r:id="rId1"/>
  </sheets>
  <definedNames>
    <definedName name="_xlnm.Print_Area" localSheetId="0">'AY2025-2026'!$A$1:$CA$54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6" i="1" l="1" a="1"/>
  <c r="AY36" i="1" s="1"/>
  <c r="AI39" i="1"/>
  <c r="AL32" i="1"/>
  <c r="AB31" i="1" l="1"/>
  <c r="BB54" i="1" l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B36" i="1"/>
  <c r="BA36" i="1"/>
  <c r="AZ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<sst xmlns="http://schemas.openxmlformats.org/spreadsheetml/2006/main" count="1452" uniqueCount="130">
  <si>
    <t>Last Updated: 2/17/2026</t>
  </si>
  <si>
    <t>PGY1/2/3</t>
  </si>
  <si>
    <t>PGY1/2</t>
  </si>
  <si>
    <t>PGY1</t>
  </si>
  <si>
    <t>PGY2</t>
  </si>
  <si>
    <t>PGY3</t>
  </si>
  <si>
    <t>7/1-7/6</t>
  </si>
  <si>
    <t>7/7-7/13</t>
  </si>
  <si>
    <t>7/14-7/20</t>
  </si>
  <si>
    <t>7/21-7/27</t>
  </si>
  <si>
    <t>7/28-8/3</t>
  </si>
  <si>
    <t>8/4-8/10</t>
  </si>
  <si>
    <t>8/11-8/17</t>
  </si>
  <si>
    <t>8/18/-8/24</t>
  </si>
  <si>
    <t>8/25-8/31</t>
  </si>
  <si>
    <t>9/1-9/7</t>
  </si>
  <si>
    <t>9/8-9/14</t>
  </si>
  <si>
    <t>9/15-9/21</t>
  </si>
  <si>
    <t>9/22-9/28</t>
  </si>
  <si>
    <t>9/29-10/5</t>
  </si>
  <si>
    <t>10/6-10/12</t>
  </si>
  <si>
    <t>10/13-10/19</t>
  </si>
  <si>
    <t>10/20-10/26</t>
  </si>
  <si>
    <t>10/27-11/2</t>
  </si>
  <si>
    <t>11/3-11/9</t>
  </si>
  <si>
    <t>11/10-11/16</t>
  </si>
  <si>
    <t>11/17-11/23</t>
  </si>
  <si>
    <t>11/24-11/30</t>
  </si>
  <si>
    <t>12/1-12/7</t>
  </si>
  <si>
    <t>12/8-12/14</t>
  </si>
  <si>
    <t>12/15-12/21</t>
  </si>
  <si>
    <t>12/22-12/28</t>
  </si>
  <si>
    <t>12/29-1/4</t>
  </si>
  <si>
    <t>1/5-1/11</t>
  </si>
  <si>
    <t>1/12-1/18</t>
  </si>
  <si>
    <t>1/19-1/25</t>
  </si>
  <si>
    <t>1/26-2/1</t>
  </si>
  <si>
    <t>2/2-2/8</t>
  </si>
  <si>
    <t>2/9-2/15</t>
  </si>
  <si>
    <t>2/16-2/22</t>
  </si>
  <si>
    <t>2/23-3/1</t>
  </si>
  <si>
    <t>3/2-3/8</t>
  </si>
  <si>
    <t>3/9-3/15</t>
  </si>
  <si>
    <t>3/16-3/22</t>
  </si>
  <si>
    <t>3/23-3/29</t>
  </si>
  <si>
    <t>3/30-4/5</t>
  </si>
  <si>
    <t>4/6-4/12</t>
  </si>
  <si>
    <t>4/13-4/19</t>
  </si>
  <si>
    <t>4/20-4/26</t>
  </si>
  <si>
    <t>4/27-5/3</t>
  </si>
  <si>
    <t>5/4-5/10</t>
  </si>
  <si>
    <t>5/11-5/17</t>
  </si>
  <si>
    <t>5/18-5/24</t>
  </si>
  <si>
    <t>5/25-5/31</t>
  </si>
  <si>
    <t>6/1-6/7</t>
  </si>
  <si>
    <t>6/8-6/14</t>
  </si>
  <si>
    <t>6/15-6/21</t>
  </si>
  <si>
    <t>6/22-6/30</t>
  </si>
  <si>
    <t>CCIM</t>
  </si>
  <si>
    <t>VAC</t>
  </si>
  <si>
    <t>ELECTIVE</t>
  </si>
  <si>
    <t>Wards-B</t>
  </si>
  <si>
    <t>Wards-R</t>
  </si>
  <si>
    <t>MICU (1)</t>
  </si>
  <si>
    <t>Met Wards</t>
  </si>
  <si>
    <t>MICUMETRO1</t>
  </si>
  <si>
    <t>MICUMETRO2</t>
  </si>
  <si>
    <t>NF</t>
  </si>
  <si>
    <t>NFMETRO</t>
  </si>
  <si>
    <t>EM</t>
  </si>
  <si>
    <t>ADD MED</t>
  </si>
  <si>
    <t>CARD</t>
  </si>
  <si>
    <t>ENDO</t>
  </si>
  <si>
    <t>GERI</t>
  </si>
  <si>
    <t>GI</t>
  </si>
  <si>
    <t>HPC</t>
  </si>
  <si>
    <t>HEM/ONC</t>
  </si>
  <si>
    <t>ID</t>
  </si>
  <si>
    <t>NEPH</t>
  </si>
  <si>
    <t>NEURO</t>
  </si>
  <si>
    <t>PULM</t>
  </si>
  <si>
    <t>RHEUM</t>
  </si>
  <si>
    <t>Cohort</t>
  </si>
  <si>
    <t>Trainee</t>
  </si>
  <si>
    <t>A</t>
  </si>
  <si>
    <t>Ramona Alvarado</t>
  </si>
  <si>
    <t>MICU 1</t>
  </si>
  <si>
    <t>Umar Dawood</t>
  </si>
  <si>
    <t>Elect - Anes</t>
  </si>
  <si>
    <t>ELECT - CVICU</t>
  </si>
  <si>
    <t>Victoria Delano</t>
  </si>
  <si>
    <t>ELECT - SA</t>
  </si>
  <si>
    <t xml:space="preserve">Sebastian Echegaray </t>
  </si>
  <si>
    <t xml:space="preserve">Tommy Yu </t>
  </si>
  <si>
    <t>Kevin Cho</t>
  </si>
  <si>
    <t xml:space="preserve">MICU </t>
  </si>
  <si>
    <t>B</t>
  </si>
  <si>
    <t xml:space="preserve">Brittany Hill </t>
  </si>
  <si>
    <r>
      <rPr>
        <sz val="10"/>
        <color theme="1"/>
        <rFont val="Calibri"/>
        <family val="2"/>
        <scheme val="minor"/>
      </rPr>
      <t>ELECTIVE</t>
    </r>
    <r>
      <rPr>
        <sz val="11"/>
        <color theme="1"/>
        <rFont val="Calibri"/>
        <family val="2"/>
        <scheme val="minor"/>
      </rPr>
      <t xml:space="preserve"> - </t>
    </r>
    <r>
      <rPr>
        <sz val="8"/>
        <color theme="1"/>
        <rFont val="Calibri"/>
        <family val="2"/>
        <scheme val="minor"/>
      </rPr>
      <t>ID</t>
    </r>
  </si>
  <si>
    <t>Austin Jentz</t>
  </si>
  <si>
    <t xml:space="preserve">Mia Letson </t>
  </si>
  <si>
    <t xml:space="preserve">Cassandra Millan </t>
  </si>
  <si>
    <t>Sarita Thanedar</t>
  </si>
  <si>
    <t>Elect - MICU Metro</t>
  </si>
  <si>
    <t>Elect - MICU</t>
  </si>
  <si>
    <t xml:space="preserve">Nafis Deen </t>
  </si>
  <si>
    <t>C</t>
  </si>
  <si>
    <t>Usman Nazeer</t>
  </si>
  <si>
    <t>ELECT - ICU</t>
  </si>
  <si>
    <t>Lila Ndze</t>
  </si>
  <si>
    <t>Martin Orden</t>
  </si>
  <si>
    <t>ELECT-PM&amp;R</t>
  </si>
  <si>
    <t xml:space="preserve">Arthur Rendon </t>
  </si>
  <si>
    <t>Nawsin Baset</t>
  </si>
  <si>
    <t>ENT</t>
  </si>
  <si>
    <t>Aaron Daniel De La Cruz</t>
  </si>
  <si>
    <t>D</t>
  </si>
  <si>
    <t xml:space="preserve">Jacob Sanderson </t>
  </si>
  <si>
    <t>ELECT -METRO</t>
  </si>
  <si>
    <t xml:space="preserve">Vidur Shah </t>
  </si>
  <si>
    <t>Saad Masud</t>
  </si>
  <si>
    <t>Gongkai Liu</t>
  </si>
  <si>
    <t>MICUMETRO</t>
  </si>
  <si>
    <t>E</t>
  </si>
  <si>
    <t>Shao-Ting Brian Min</t>
  </si>
  <si>
    <t>Andrew H Wright</t>
  </si>
  <si>
    <t>Sebastian Melo</t>
  </si>
  <si>
    <t>WOH Wards</t>
  </si>
  <si>
    <t>ELECT - PM&amp;R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</si>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</sst>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33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5821F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lightTrellis">
        <bgColor theme="5" tint="-0.499984740745262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2" fillId="7" borderId="0" applyNumberFormat="0" applyBorder="0" applyAlignment="0" applyProtection="0"/>
    <xf numFmtId="0" fontId="1" fillId="8" borderId="0" applyNumberFormat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1" applyAlignment="1">
      <alignment horizontal="center" vertical="center"/>
    </xf>
    <xf numFmtId="16" fontId="2" fillId="2" borderId="0" xfId="1" applyNumberFormat="1" applyAlignment="1">
      <alignment horizontal="center" vertical="center"/>
    </xf>
    <xf numFmtId="0" fontId="2" fillId="7" borderId="1" xfId="6" applyBorder="1" applyAlignment="1">
      <alignment horizontal="center" vertical="center"/>
    </xf>
    <xf numFmtId="0" fontId="2" fillId="5" borderId="1" xfId="4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0" fillId="31" borderId="3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2" applyFont="1" applyBorder="1" applyAlignment="1">
      <alignment horizontal="center" vertical="center"/>
    </xf>
    <xf numFmtId="0" fontId="0" fillId="10" borderId="1" xfId="0" applyFill="1" applyBorder="1"/>
    <xf numFmtId="0" fontId="0" fillId="32" borderId="1" xfId="0" applyFill="1" applyBorder="1"/>
    <xf numFmtId="0" fontId="2" fillId="16" borderId="6" xfId="0" applyFont="1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2" fillId="25" borderId="6" xfId="0" applyFont="1" applyFill="1" applyBorder="1" applyAlignment="1">
      <alignment horizontal="center" vertical="center"/>
    </xf>
    <xf numFmtId="0" fontId="2" fillId="26" borderId="6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1" fillId="9" borderId="6" xfId="3" applyFill="1" applyBorder="1" applyAlignment="1">
      <alignment horizontal="center" vertical="center"/>
    </xf>
    <xf numFmtId="0" fontId="3" fillId="11" borderId="1" xfId="0" applyFont="1" applyFill="1" applyBorder="1"/>
    <xf numFmtId="0" fontId="4" fillId="33" borderId="1" xfId="0" applyFont="1" applyFill="1" applyBorder="1"/>
    <xf numFmtId="0" fontId="2" fillId="19" borderId="6" xfId="0" applyFont="1" applyFill="1" applyBorder="1" applyAlignment="1">
      <alignment horizontal="center" vertical="center"/>
    </xf>
    <xf numFmtId="0" fontId="2" fillId="28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0" xfId="2" applyBorder="1" applyAlignment="1">
      <alignment horizontal="center" vertical="center"/>
    </xf>
    <xf numFmtId="0" fontId="0" fillId="13" borderId="1" xfId="0" applyFill="1" applyBorder="1"/>
    <xf numFmtId="0" fontId="0" fillId="6" borderId="0" xfId="5" applyFont="1" applyBorder="1" applyAlignment="1">
      <alignment horizontal="center" vertical="center"/>
    </xf>
    <xf numFmtId="0" fontId="2" fillId="22" borderId="6" xfId="0" applyFont="1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24" borderId="6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2" fillId="29" borderId="6" xfId="0" applyFont="1" applyFill="1" applyBorder="1" applyAlignment="1">
      <alignment horizontal="center" vertical="center"/>
    </xf>
    <xf numFmtId="0" fontId="2" fillId="27" borderId="6" xfId="0" applyFont="1" applyFill="1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9" xfId="5" applyFont="1" applyBorder="1" applyAlignment="1">
      <alignment horizontal="center" vertical="center"/>
    </xf>
    <xf numFmtId="0" fontId="4" fillId="32" borderId="1" xfId="0" applyFont="1" applyFill="1" applyBorder="1"/>
    <xf numFmtId="0" fontId="0" fillId="13" borderId="0" xfId="0" applyFill="1" applyAlignment="1">
      <alignment horizontal="center" vertical="center"/>
    </xf>
    <xf numFmtId="0" fontId="0" fillId="6" borderId="10" xfId="5" applyFont="1" applyBorder="1" applyAlignment="1">
      <alignment horizontal="center" vertical="center"/>
    </xf>
    <xf numFmtId="0" fontId="0" fillId="34" borderId="0" xfId="5" applyFon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23" borderId="6" xfId="0" applyFont="1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8" borderId="9" xfId="7" applyFont="1" applyBorder="1" applyAlignment="1">
      <alignment horizontal="center" vertical="center"/>
    </xf>
    <xf numFmtId="0" fontId="5" fillId="32" borderId="6" xfId="6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5" borderId="1" xfId="0" applyFont="1" applyFill="1" applyBorder="1" applyAlignment="1">
      <alignment horizontal="center"/>
    </xf>
    <xf numFmtId="0" fontId="0" fillId="9" borderId="6" xfId="3" applyFont="1" applyFill="1" applyBorder="1" applyAlignment="1">
      <alignment horizontal="center" vertical="center"/>
    </xf>
    <xf numFmtId="0" fontId="1" fillId="36" borderId="6" xfId="3" applyFill="1" applyBorder="1" applyAlignment="1">
      <alignment horizontal="center" vertical="center"/>
    </xf>
    <xf numFmtId="0" fontId="1" fillId="36" borderId="1" xfId="3" applyFill="1" applyBorder="1" applyAlignment="1">
      <alignment horizontal="center" vertical="center"/>
    </xf>
    <xf numFmtId="0" fontId="6" fillId="36" borderId="6" xfId="3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0" fillId="36" borderId="6" xfId="3" applyFont="1" applyFill="1" applyBorder="1" applyAlignment="1">
      <alignment horizontal="center" vertical="center"/>
    </xf>
    <xf numFmtId="0" fontId="7" fillId="36" borderId="6" xfId="3" applyFont="1" applyFill="1" applyBorder="1" applyAlignment="1">
      <alignment horizontal="center" vertical="center"/>
    </xf>
    <xf numFmtId="0" fontId="9" fillId="36" borderId="6" xfId="3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36" borderId="6" xfId="3" applyFont="1" applyFill="1" applyBorder="1" applyAlignment="1">
      <alignment horizontal="center" vertical="center"/>
    </xf>
    <xf numFmtId="0" fontId="10" fillId="37" borderId="6" xfId="4" applyFont="1" applyFill="1" applyBorder="1" applyAlignment="1">
      <alignment horizontal="center" vertical="center"/>
    </xf>
    <xf numFmtId="0" fontId="10" fillId="0" borderId="6" xfId="4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8">
    <cellStyle name="20% - Accent2" xfId="2" builtinId="34"/>
    <cellStyle name="20% - Accent5" xfId="5" builtinId="46"/>
    <cellStyle name="20% - Accent6" xfId="7" builtinId="50"/>
    <cellStyle name="60% - Accent2" xfId="3" builtinId="36"/>
    <cellStyle name="Accent1" xfId="1" builtinId="29"/>
    <cellStyle name="Accent4" xfId="4" builtinId="41"/>
    <cellStyle name="Accent6" xfId="6" builtinId="49"/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  <color rgb="FF00FF00"/>
      <color rgb="FF9933FF"/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4673-1821-499E-934A-27FCB16A6723}">
  <sheetPr>
    <pageSetUpPr fitToPage="1"/>
  </sheetPr>
  <dimension ref="A1:BZ55"/>
  <sheetViews>
    <sheetView tabSelected="1" zoomScale="80" zoomScaleNormal="80" workbookViewId="0">
      <pane xSplit="2" ySplit="2" topLeftCell="AS6" activePane="bottomRight" state="frozen"/>
      <selection pane="bottomRight" activeCell="AT1" sqref="AT1:AT1048576"/>
      <selection pane="bottomLeft" activeCell="A3" sqref="A3"/>
      <selection pane="topRight" activeCell="C1" sqref="C1"/>
    </sheetView>
  </sheetViews>
  <sheetFormatPr defaultColWidth="8.7109375" defaultRowHeight="15"/>
  <cols>
    <col min="1" max="1" width="8.7109375" style="1"/>
    <col min="2" max="2" width="26.42578125" style="1" customWidth="1"/>
    <col min="3" max="54" width="10.85546875" style="1" customWidth="1"/>
    <col min="55" max="55" width="8.42578125" style="1" customWidth="1"/>
    <col min="56" max="56" width="10.140625" style="1" customWidth="1"/>
    <col min="57" max="57" width="8.7109375" style="1"/>
    <col min="58" max="59" width="9.7109375" style="1" customWidth="1"/>
    <col min="60" max="60" width="8.7109375" style="1"/>
    <col min="61" max="61" width="12.28515625" style="1" customWidth="1"/>
    <col min="62" max="63" width="12.7109375" style="1" customWidth="1"/>
    <col min="64" max="64" width="8.7109375" style="1"/>
    <col min="65" max="65" width="11.42578125" style="1" customWidth="1"/>
    <col min="66" max="66" width="8.7109375" style="1"/>
    <col min="67" max="67" width="9.28515625" style="1" customWidth="1"/>
    <col min="68" max="72" width="8.7109375" style="1"/>
    <col min="73" max="73" width="10.140625" style="1" customWidth="1"/>
    <col min="74" max="16384" width="8.7109375" style="1"/>
  </cols>
  <sheetData>
    <row r="1" spans="1:78">
      <c r="B1" s="81" t="s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1" t="s">
        <v>1</v>
      </c>
      <c r="BD1" s="1" t="s">
        <v>1</v>
      </c>
      <c r="BF1" s="1" t="s">
        <v>2</v>
      </c>
      <c r="BG1" s="1" t="s">
        <v>2</v>
      </c>
      <c r="BH1" s="1" t="s">
        <v>3</v>
      </c>
      <c r="BI1" s="1" t="s">
        <v>3</v>
      </c>
      <c r="BJ1" s="1" t="s">
        <v>4</v>
      </c>
      <c r="BK1" s="1" t="s">
        <v>4</v>
      </c>
      <c r="BL1" s="1" t="s">
        <v>2</v>
      </c>
      <c r="BM1" s="1" t="s">
        <v>5</v>
      </c>
      <c r="BN1" s="1" t="s">
        <v>3</v>
      </c>
      <c r="BO1" s="1" t="s">
        <v>5</v>
      </c>
      <c r="BP1" s="1" t="s">
        <v>3</v>
      </c>
      <c r="BQ1" s="1" t="s">
        <v>5</v>
      </c>
      <c r="BR1" s="1" t="s">
        <v>5</v>
      </c>
      <c r="BS1" s="1" t="s">
        <v>4</v>
      </c>
      <c r="BT1" s="1" t="s">
        <v>5</v>
      </c>
      <c r="BU1" s="1" t="s">
        <v>4</v>
      </c>
      <c r="BV1" s="1" t="s">
        <v>3</v>
      </c>
      <c r="BW1" s="1" t="s">
        <v>3</v>
      </c>
      <c r="BX1" s="1" t="s">
        <v>4</v>
      </c>
      <c r="BY1" s="1" t="s">
        <v>3</v>
      </c>
      <c r="BZ1" s="1" t="s">
        <v>4</v>
      </c>
    </row>
    <row r="2" spans="1:78" ht="16.5" thickBot="1">
      <c r="C2" s="3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3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3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54</v>
      </c>
      <c r="AZ2" s="2" t="s">
        <v>55</v>
      </c>
      <c r="BA2" s="2" t="s">
        <v>56</v>
      </c>
      <c r="BB2" s="2" t="s">
        <v>57</v>
      </c>
      <c r="BC2" s="4" t="s">
        <v>58</v>
      </c>
      <c r="BD2" s="83" t="s">
        <v>59</v>
      </c>
      <c r="BE2" s="74" t="s">
        <v>60</v>
      </c>
      <c r="BF2" s="6" t="s">
        <v>61</v>
      </c>
      <c r="BG2" s="7" t="s">
        <v>62</v>
      </c>
      <c r="BH2" s="8" t="s">
        <v>63</v>
      </c>
      <c r="BI2" s="9" t="s">
        <v>64</v>
      </c>
      <c r="BJ2" s="10" t="s">
        <v>65</v>
      </c>
      <c r="BK2" s="11" t="s">
        <v>66</v>
      </c>
      <c r="BL2" s="12" t="s">
        <v>67</v>
      </c>
      <c r="BM2" s="12" t="s">
        <v>68</v>
      </c>
      <c r="BN2" s="13" t="s">
        <v>69</v>
      </c>
      <c r="BO2" s="14" t="s">
        <v>70</v>
      </c>
      <c r="BP2" s="15" t="s">
        <v>71</v>
      </c>
      <c r="BQ2" s="16" t="s">
        <v>72</v>
      </c>
      <c r="BR2" s="17" t="s">
        <v>73</v>
      </c>
      <c r="BS2" s="18" t="s">
        <v>74</v>
      </c>
      <c r="BT2" s="19" t="s">
        <v>75</v>
      </c>
      <c r="BU2" s="20" t="s">
        <v>76</v>
      </c>
      <c r="BV2" s="21" t="s">
        <v>77</v>
      </c>
      <c r="BW2" s="22" t="s">
        <v>78</v>
      </c>
      <c r="BX2" s="23" t="s">
        <v>79</v>
      </c>
      <c r="BY2" s="24" t="s">
        <v>80</v>
      </c>
      <c r="BZ2" s="25" t="s">
        <v>81</v>
      </c>
    </row>
    <row r="3" spans="1:78" ht="21.75" customHeight="1" thickBot="1">
      <c r="A3" s="26" t="s">
        <v>82</v>
      </c>
      <c r="B3" s="27" t="s">
        <v>83</v>
      </c>
      <c r="C3" s="28"/>
      <c r="K3" s="28"/>
    </row>
    <row r="4" spans="1:78">
      <c r="A4" s="87" t="s">
        <v>84</v>
      </c>
      <c r="B4" s="30" t="s">
        <v>85</v>
      </c>
      <c r="C4" s="31" t="s">
        <v>61</v>
      </c>
      <c r="D4" s="31" t="s">
        <v>61</v>
      </c>
      <c r="E4" s="31" t="s">
        <v>61</v>
      </c>
      <c r="F4" s="31" t="s">
        <v>61</v>
      </c>
      <c r="G4" s="32" t="s">
        <v>58</v>
      </c>
      <c r="H4" s="33" t="s">
        <v>67</v>
      </c>
      <c r="I4" s="33" t="s">
        <v>67</v>
      </c>
      <c r="J4" s="33" t="s">
        <v>67</v>
      </c>
      <c r="K4" s="33" t="s">
        <v>67</v>
      </c>
      <c r="L4" s="83" t="s">
        <v>59</v>
      </c>
      <c r="M4" s="34" t="s">
        <v>86</v>
      </c>
      <c r="N4" s="34" t="s">
        <v>86</v>
      </c>
      <c r="O4" s="34" t="s">
        <v>86</v>
      </c>
      <c r="P4" s="34" t="s">
        <v>86</v>
      </c>
      <c r="Q4" s="32" t="s">
        <v>58</v>
      </c>
      <c r="R4" s="35" t="s">
        <v>77</v>
      </c>
      <c r="S4" s="35" t="s">
        <v>77</v>
      </c>
      <c r="T4" s="36" t="s">
        <v>78</v>
      </c>
      <c r="U4" s="36" t="s">
        <v>78</v>
      </c>
      <c r="V4" s="83" t="s">
        <v>59</v>
      </c>
      <c r="W4" s="31" t="s">
        <v>61</v>
      </c>
      <c r="X4" s="31" t="s">
        <v>61</v>
      </c>
      <c r="Y4" s="31" t="s">
        <v>61</v>
      </c>
      <c r="Z4" s="31" t="s">
        <v>61</v>
      </c>
      <c r="AA4" s="32" t="s">
        <v>58</v>
      </c>
      <c r="AB4" s="37" t="s">
        <v>69</v>
      </c>
      <c r="AC4" s="37" t="s">
        <v>69</v>
      </c>
      <c r="AD4" s="37" t="s">
        <v>69</v>
      </c>
      <c r="AE4" s="37" t="s">
        <v>69</v>
      </c>
      <c r="AF4" s="32" t="s">
        <v>58</v>
      </c>
      <c r="AG4" s="34" t="s">
        <v>86</v>
      </c>
      <c r="AH4" s="34" t="s">
        <v>86</v>
      </c>
      <c r="AI4" s="34" t="s">
        <v>86</v>
      </c>
      <c r="AJ4" s="34" t="s">
        <v>86</v>
      </c>
      <c r="AK4" s="32" t="s">
        <v>58</v>
      </c>
      <c r="AL4" s="42" t="s">
        <v>80</v>
      </c>
      <c r="AM4" s="42" t="s">
        <v>80</v>
      </c>
      <c r="AN4" s="31" t="s">
        <v>61</v>
      </c>
      <c r="AO4" s="31" t="s">
        <v>61</v>
      </c>
      <c r="AP4" s="83" t="s">
        <v>59</v>
      </c>
      <c r="AQ4" s="83" t="s">
        <v>59</v>
      </c>
      <c r="AR4" s="83" t="s">
        <v>59</v>
      </c>
      <c r="AS4" s="83" t="s">
        <v>59</v>
      </c>
      <c r="AT4" s="83" t="s">
        <v>59</v>
      </c>
      <c r="AU4" s="83" t="s">
        <v>59</v>
      </c>
      <c r="AV4" s="83" t="s">
        <v>59</v>
      </c>
      <c r="AW4" s="83" t="s">
        <v>59</v>
      </c>
      <c r="AX4" s="83" t="s">
        <v>59</v>
      </c>
      <c r="AY4" s="83" t="s">
        <v>59</v>
      </c>
      <c r="AZ4" s="83" t="s">
        <v>59</v>
      </c>
      <c r="BA4" s="83" t="s">
        <v>59</v>
      </c>
      <c r="BB4" s="83" t="s">
        <v>59</v>
      </c>
      <c r="BC4" s="1">
        <f>COUNTIF(C4:BB4,"CCIM")</f>
        <v>5</v>
      </c>
      <c r="BD4" s="1">
        <f>COUNTIF(C4:BB4,"VAC")</f>
        <v>15</v>
      </c>
      <c r="BE4" s="1">
        <f t="shared" ref="BE4:BE28" si="0">COUNTIF(C4:BB4,"ELECTIVE")</f>
        <v>0</v>
      </c>
      <c r="BF4" s="1">
        <f>COUNTIF(C4:BB4,"Wards-B")</f>
        <v>10</v>
      </c>
      <c r="BG4" s="1">
        <f>COUNTIF(C4:BB4,"Wards-R")</f>
        <v>0</v>
      </c>
      <c r="BH4" s="1">
        <f>COUNTIF(C4:BB4,"MICU 1")</f>
        <v>8</v>
      </c>
      <c r="BI4" s="1">
        <f>COUNTIF(C4:BB4,"Met Wards")</f>
        <v>0</v>
      </c>
      <c r="BJ4" s="1">
        <f>COUNTIF(C4:BB4,"MICUMETRO1")</f>
        <v>0</v>
      </c>
      <c r="BK4" s="1">
        <f>COUNTIF(C4:BB4,"MICUMETRO2")</f>
        <v>0</v>
      </c>
      <c r="BL4" s="1">
        <f>COUNTIF(C4:BB4,"NF")</f>
        <v>4</v>
      </c>
      <c r="BM4" s="1">
        <f>COUNTIF(C4:BB4,"NFMETRO")</f>
        <v>0</v>
      </c>
      <c r="BN4" s="1">
        <f>COUNTIF(C4:BB4,"EM")</f>
        <v>4</v>
      </c>
      <c r="BO4" s="1">
        <f>COUNTIF(C4:BB4,"ADD MED")</f>
        <v>0</v>
      </c>
      <c r="BP4" s="1">
        <f>COUNTIF(C4:BB4,"CARD")</f>
        <v>0</v>
      </c>
      <c r="BQ4" s="1">
        <f>COUNTIF(C4:BB4,"ENDO")</f>
        <v>0</v>
      </c>
      <c r="BR4" s="1">
        <f>COUNTIF(C4:BB4,"GERI")</f>
        <v>0</v>
      </c>
      <c r="BS4" s="1">
        <f>COUNTIF(C4:BB4,"GI")</f>
        <v>0</v>
      </c>
      <c r="BT4" s="1">
        <f>COUNTIF(C4:BB4,"HPC")</f>
        <v>0</v>
      </c>
      <c r="BU4" s="1">
        <f>COUNTIF(C4:BB4,"HEM/ONC")</f>
        <v>0</v>
      </c>
      <c r="BV4" s="1">
        <f>COUNTIF(C4:BB4,"ID")</f>
        <v>2</v>
      </c>
      <c r="BW4" s="1">
        <f>COUNTIF(C4:BB4,"NEPH")</f>
        <v>2</v>
      </c>
      <c r="BX4" s="1">
        <f>COUNTIF(C4:BB4,"NEURO")</f>
        <v>0</v>
      </c>
      <c r="BY4" s="1">
        <f>COUNTIF(C4:BB4,"PULM")</f>
        <v>2</v>
      </c>
      <c r="BZ4" s="1">
        <f>COUNTIF(C4:BB4,"RHEUM")</f>
        <v>0</v>
      </c>
    </row>
    <row r="5" spans="1:78" ht="15.75">
      <c r="A5" s="88"/>
      <c r="B5" s="44" t="s">
        <v>87</v>
      </c>
      <c r="C5" s="31" t="s">
        <v>61</v>
      </c>
      <c r="D5" s="31" t="s">
        <v>61</v>
      </c>
      <c r="E5" s="31" t="s">
        <v>61</v>
      </c>
      <c r="F5" s="31" t="s">
        <v>61</v>
      </c>
      <c r="G5" s="32" t="s">
        <v>58</v>
      </c>
      <c r="H5" s="37" t="s">
        <v>69</v>
      </c>
      <c r="I5" s="37" t="s">
        <v>69</v>
      </c>
      <c r="J5" s="37" t="s">
        <v>69</v>
      </c>
      <c r="K5" s="37" t="s">
        <v>69</v>
      </c>
      <c r="L5" s="32" t="s">
        <v>58</v>
      </c>
      <c r="M5" s="34" t="s">
        <v>86</v>
      </c>
      <c r="N5" s="34" t="s">
        <v>86</v>
      </c>
      <c r="O5" s="34" t="s">
        <v>86</v>
      </c>
      <c r="P5" s="34" t="s">
        <v>86</v>
      </c>
      <c r="Q5" s="32" t="s">
        <v>58</v>
      </c>
      <c r="R5" s="41" t="s">
        <v>71</v>
      </c>
      <c r="S5" s="41" t="s">
        <v>71</v>
      </c>
      <c r="T5" s="41" t="s">
        <v>71</v>
      </c>
      <c r="U5" s="83" t="s">
        <v>59</v>
      </c>
      <c r="V5" s="32" t="s">
        <v>58</v>
      </c>
      <c r="W5" s="39" t="s">
        <v>62</v>
      </c>
      <c r="X5" s="39" t="s">
        <v>62</v>
      </c>
      <c r="Y5" s="39" t="s">
        <v>62</v>
      </c>
      <c r="Z5" s="39" t="s">
        <v>62</v>
      </c>
      <c r="AA5" s="32" t="s">
        <v>58</v>
      </c>
      <c r="AB5" s="33" t="s">
        <v>67</v>
      </c>
      <c r="AC5" s="33" t="s">
        <v>67</v>
      </c>
      <c r="AD5" s="33" t="s">
        <v>67</v>
      </c>
      <c r="AE5" s="33" t="s">
        <v>67</v>
      </c>
      <c r="AF5" s="32" t="s">
        <v>58</v>
      </c>
      <c r="AG5" s="34" t="s">
        <v>86</v>
      </c>
      <c r="AH5" s="77" t="s">
        <v>66</v>
      </c>
      <c r="AI5" s="34" t="s">
        <v>86</v>
      </c>
      <c r="AJ5" s="34" t="s">
        <v>86</v>
      </c>
      <c r="AK5" s="32" t="s">
        <v>58</v>
      </c>
      <c r="AL5" s="79" t="s">
        <v>88</v>
      </c>
      <c r="AM5" s="79" t="s">
        <v>88</v>
      </c>
      <c r="AN5" s="83" t="s">
        <v>59</v>
      </c>
      <c r="AO5" s="75" t="s">
        <v>89</v>
      </c>
      <c r="AP5" s="32" t="s">
        <v>58</v>
      </c>
      <c r="AQ5" s="45" t="s">
        <v>64</v>
      </c>
      <c r="AR5" s="45" t="s">
        <v>64</v>
      </c>
      <c r="AS5" s="45" t="s">
        <v>64</v>
      </c>
      <c r="AT5" s="45" t="s">
        <v>64</v>
      </c>
      <c r="AU5" s="40" t="s">
        <v>58</v>
      </c>
      <c r="AV5" s="35" t="s">
        <v>77</v>
      </c>
      <c r="AW5" s="35" t="s">
        <v>77</v>
      </c>
      <c r="AX5" s="36" t="s">
        <v>78</v>
      </c>
      <c r="AY5" s="36" t="s">
        <v>78</v>
      </c>
      <c r="AZ5" s="40" t="s">
        <v>58</v>
      </c>
      <c r="BA5" s="42" t="s">
        <v>80</v>
      </c>
      <c r="BB5" s="42" t="s">
        <v>80</v>
      </c>
      <c r="BC5" s="1">
        <f t="shared" ref="BC5:BC28" si="1">COUNTIF(C5:BB5,"CCIM")</f>
        <v>10</v>
      </c>
      <c r="BD5" s="1">
        <f t="shared" ref="BD5:BD28" si="2">COUNTIF(C5:BB5,"VAC")</f>
        <v>2</v>
      </c>
      <c r="BE5" s="1">
        <f t="shared" si="0"/>
        <v>0</v>
      </c>
      <c r="BF5" s="1">
        <f t="shared" ref="BF5:BF28" si="3">COUNTIF(C5:BB5,"Wards-B")</f>
        <v>4</v>
      </c>
      <c r="BG5" s="1">
        <f t="shared" ref="BG5:BG28" si="4">COUNTIF(C5:BB5,"Wards-R")</f>
        <v>4</v>
      </c>
      <c r="BH5" s="1">
        <f t="shared" ref="BH5:BH28" si="5">COUNTIF(C5:BB5,"MICU 1")</f>
        <v>7</v>
      </c>
      <c r="BI5" s="1">
        <f t="shared" ref="BI5:BI28" si="6">COUNTIF(C5:BB5,"Met Wards")</f>
        <v>4</v>
      </c>
      <c r="BJ5" s="1">
        <f t="shared" ref="BJ5:BJ28" si="7">COUNTIF(C5:BB5,"MICUMETRO1")</f>
        <v>0</v>
      </c>
      <c r="BK5" s="1">
        <f t="shared" ref="BK5:BK28" si="8">COUNTIF(C5:BB5,"MICUMETRO2")</f>
        <v>1</v>
      </c>
      <c r="BL5" s="1">
        <f t="shared" ref="BL5:BL28" si="9">COUNTIF(C5:BB5,"NF")</f>
        <v>4</v>
      </c>
      <c r="BM5" s="1">
        <f t="shared" ref="BM5:BM28" si="10">COUNTIF(C5:BB5,"NFMETRO")</f>
        <v>0</v>
      </c>
      <c r="BN5" s="1">
        <f t="shared" ref="BN5:BN28" si="11">COUNTIF(C5:BB5,"EM")</f>
        <v>4</v>
      </c>
      <c r="BO5" s="1">
        <f t="shared" ref="BO5:BO28" si="12">COUNTIF(C5:BB5,"ADD MED")</f>
        <v>0</v>
      </c>
      <c r="BP5" s="1">
        <f t="shared" ref="BP5:BP28" si="13">COUNTIF(C5:BB5,"CARD")</f>
        <v>3</v>
      </c>
      <c r="BQ5" s="1">
        <f t="shared" ref="BQ5:BQ28" si="14">COUNTIF(C5:BB5,"ENDO")</f>
        <v>0</v>
      </c>
      <c r="BR5" s="1">
        <f t="shared" ref="BR5:BR28" si="15">COUNTIF(C5:BB5,"GERI")</f>
        <v>0</v>
      </c>
      <c r="BS5" s="1">
        <f t="shared" ref="BS5:BS28" si="16">COUNTIF(C5:BB5,"GI")</f>
        <v>0</v>
      </c>
      <c r="BT5" s="1">
        <f t="shared" ref="BT5:BT28" si="17">COUNTIF(C5:BB5,"HPC")</f>
        <v>0</v>
      </c>
      <c r="BU5" s="1">
        <f t="shared" ref="BU5:BU28" si="18">COUNTIF(C5:BB5,"HEM/ONC")</f>
        <v>0</v>
      </c>
      <c r="BV5" s="1">
        <f t="shared" ref="BV5:BV28" si="19">COUNTIF(C5:BB5,"ID")</f>
        <v>2</v>
      </c>
      <c r="BW5" s="1">
        <f t="shared" ref="BW5:BW28" si="20">COUNTIF(C5:BB5,"NEPH")</f>
        <v>2</v>
      </c>
      <c r="BX5" s="1">
        <f t="shared" ref="BX5:BX28" si="21">COUNTIF(C5:BB5,"NEURO")</f>
        <v>0</v>
      </c>
      <c r="BY5" s="1">
        <f t="shared" ref="BY5:BY28" si="22">COUNTIF(C5:BB5,"PULM")</f>
        <v>2</v>
      </c>
      <c r="BZ5" s="1">
        <f t="shared" ref="BZ5:BZ28" si="23">COUNTIF(C5:BB5,"RHEUM")</f>
        <v>0</v>
      </c>
    </row>
    <row r="6" spans="1:78" ht="15.75">
      <c r="A6" s="88"/>
      <c r="B6" s="44" t="s">
        <v>90</v>
      </c>
      <c r="C6" s="39" t="s">
        <v>62</v>
      </c>
      <c r="D6" s="39" t="s">
        <v>62</v>
      </c>
      <c r="E6" s="39" t="s">
        <v>62</v>
      </c>
      <c r="F6" s="39" t="s">
        <v>62</v>
      </c>
      <c r="G6" s="32" t="s">
        <v>58</v>
      </c>
      <c r="H6" s="33" t="s">
        <v>67</v>
      </c>
      <c r="I6" s="33" t="s">
        <v>67</v>
      </c>
      <c r="J6" s="33" t="s">
        <v>67</v>
      </c>
      <c r="K6" s="33" t="s">
        <v>67</v>
      </c>
      <c r="L6" s="32" t="s">
        <v>58</v>
      </c>
      <c r="M6" s="34" t="s">
        <v>86</v>
      </c>
      <c r="N6" s="83" t="s">
        <v>59</v>
      </c>
      <c r="O6" s="34" t="s">
        <v>86</v>
      </c>
      <c r="P6" s="34" t="s">
        <v>86</v>
      </c>
      <c r="Q6" s="32" t="s">
        <v>58</v>
      </c>
      <c r="R6" s="36" t="s">
        <v>78</v>
      </c>
      <c r="S6" s="36" t="s">
        <v>78</v>
      </c>
      <c r="T6" s="35" t="s">
        <v>77</v>
      </c>
      <c r="U6" s="35" t="s">
        <v>77</v>
      </c>
      <c r="V6" s="32" t="s">
        <v>58</v>
      </c>
      <c r="W6" s="31" t="s">
        <v>61</v>
      </c>
      <c r="X6" s="31" t="s">
        <v>61</v>
      </c>
      <c r="Y6" s="31" t="s">
        <v>61</v>
      </c>
      <c r="Z6" s="31" t="s">
        <v>61</v>
      </c>
      <c r="AA6" s="32" t="s">
        <v>58</v>
      </c>
      <c r="AB6" s="37" t="s">
        <v>69</v>
      </c>
      <c r="AC6" s="37" t="s">
        <v>69</v>
      </c>
      <c r="AD6" s="37" t="s">
        <v>69</v>
      </c>
      <c r="AE6" s="37" t="s">
        <v>69</v>
      </c>
      <c r="AF6" s="32" t="s">
        <v>58</v>
      </c>
      <c r="AG6" s="34" t="s">
        <v>86</v>
      </c>
      <c r="AH6" s="34" t="s">
        <v>86</v>
      </c>
      <c r="AI6" s="34" t="s">
        <v>86</v>
      </c>
      <c r="AJ6" s="34" t="s">
        <v>86</v>
      </c>
      <c r="AK6" s="32" t="s">
        <v>58</v>
      </c>
      <c r="AL6" s="41" t="s">
        <v>71</v>
      </c>
      <c r="AM6" s="41" t="s">
        <v>71</v>
      </c>
      <c r="AN6" s="41" t="s">
        <v>71</v>
      </c>
      <c r="AO6" s="41" t="s">
        <v>71</v>
      </c>
      <c r="AP6" s="32" t="s">
        <v>58</v>
      </c>
      <c r="AQ6" s="45" t="s">
        <v>64</v>
      </c>
      <c r="AR6" s="45" t="s">
        <v>64</v>
      </c>
      <c r="AS6" s="45" t="s">
        <v>64</v>
      </c>
      <c r="AT6" s="45" t="s">
        <v>64</v>
      </c>
      <c r="AU6" s="83" t="s">
        <v>59</v>
      </c>
      <c r="AV6" s="75" t="s">
        <v>91</v>
      </c>
      <c r="AW6" s="75" t="s">
        <v>91</v>
      </c>
      <c r="AX6" s="75" t="s">
        <v>91</v>
      </c>
      <c r="AY6" s="75" t="s">
        <v>91</v>
      </c>
      <c r="AZ6" s="83" t="s">
        <v>59</v>
      </c>
      <c r="BA6" s="42" t="s">
        <v>80</v>
      </c>
      <c r="BB6" s="42" t="s">
        <v>80</v>
      </c>
      <c r="BC6" s="1">
        <f>COUNTIF(C6:BB6,"CCIM")</f>
        <v>8</v>
      </c>
      <c r="BD6" s="1">
        <f>COUNTIF(C6:BB6,"VAC")</f>
        <v>3</v>
      </c>
      <c r="BE6" s="1">
        <f>COUNTIF(C6:BB6,"ELECTIVE")</f>
        <v>0</v>
      </c>
      <c r="BF6" s="1">
        <f>COUNTIF(C6:BB6,"Wards-B")</f>
        <v>4</v>
      </c>
      <c r="BG6" s="1">
        <f>COUNTIF(C6:BB6,"Wards-R")</f>
        <v>4</v>
      </c>
      <c r="BH6" s="1">
        <f>COUNTIF(C6:BB6,"MICU 1")</f>
        <v>7</v>
      </c>
      <c r="BI6" s="1">
        <f>COUNTIF(C6:BB6,"Met Wards")</f>
        <v>4</v>
      </c>
      <c r="BJ6" s="1">
        <f>COUNTIF(C6:BB6,"MICUMETRO1")</f>
        <v>0</v>
      </c>
      <c r="BK6" s="1">
        <f>COUNTIF(C6:BB6,"MICUMETRO2")</f>
        <v>0</v>
      </c>
      <c r="BL6" s="1">
        <f>COUNTIF(C6:BB6,"NF")</f>
        <v>4</v>
      </c>
      <c r="BM6" s="1">
        <f>COUNTIF(C6:BB6,"NFMETRO")</f>
        <v>0</v>
      </c>
      <c r="BN6" s="1">
        <f>COUNTIF(C6:BB6,"EM")</f>
        <v>4</v>
      </c>
      <c r="BO6" s="1">
        <f>COUNTIF(C6:BB6,"ADD MED")</f>
        <v>0</v>
      </c>
      <c r="BP6" s="1">
        <f>COUNTIF(C6:BB6,"CARD")</f>
        <v>4</v>
      </c>
      <c r="BQ6" s="1">
        <f>COUNTIF(C6:BB6,"ENDO")</f>
        <v>0</v>
      </c>
      <c r="BR6" s="1">
        <f>COUNTIF(C6:BB6,"GERI")</f>
        <v>0</v>
      </c>
      <c r="BS6" s="1">
        <f>COUNTIF(C6:BB6,"GI")</f>
        <v>0</v>
      </c>
      <c r="BT6" s="1">
        <f>COUNTIF(C6:BB6,"HPC")</f>
        <v>0</v>
      </c>
      <c r="BU6" s="1">
        <f>COUNTIF(C6:BB6,"HEM/ONC")</f>
        <v>0</v>
      </c>
      <c r="BV6" s="1">
        <f>COUNTIF(C6:BB6,"ID")</f>
        <v>2</v>
      </c>
      <c r="BW6" s="1">
        <f>COUNTIF(C6:BB6,"NEPH")</f>
        <v>2</v>
      </c>
      <c r="BX6" s="1">
        <f>COUNTIF(C6:BB6,"NEURO")</f>
        <v>0</v>
      </c>
      <c r="BY6" s="1">
        <f>COUNTIF(C6:BB6,"PULM")</f>
        <v>2</v>
      </c>
      <c r="BZ6" s="1">
        <f>COUNTIF(C6:BB6,"RHEUM")</f>
        <v>0</v>
      </c>
    </row>
    <row r="7" spans="1:78" ht="15.75">
      <c r="A7" s="88"/>
      <c r="B7" s="44" t="s">
        <v>92</v>
      </c>
      <c r="C7" s="39" t="s">
        <v>62</v>
      </c>
      <c r="D7" s="39" t="s">
        <v>62</v>
      </c>
      <c r="E7" s="39" t="s">
        <v>62</v>
      </c>
      <c r="F7" s="39" t="s">
        <v>62</v>
      </c>
      <c r="G7" s="32" t="s">
        <v>58</v>
      </c>
      <c r="H7" s="37" t="s">
        <v>69</v>
      </c>
      <c r="I7" s="37" t="s">
        <v>69</v>
      </c>
      <c r="J7" s="37" t="s">
        <v>69</v>
      </c>
      <c r="K7" s="37" t="s">
        <v>69</v>
      </c>
      <c r="L7" s="32" t="s">
        <v>58</v>
      </c>
      <c r="M7" s="34" t="s">
        <v>86</v>
      </c>
      <c r="N7" s="34" t="s">
        <v>86</v>
      </c>
      <c r="O7" s="34" t="s">
        <v>86</v>
      </c>
      <c r="P7" s="34" t="s">
        <v>86</v>
      </c>
      <c r="Q7" s="32" t="s">
        <v>58</v>
      </c>
      <c r="R7" s="83" t="s">
        <v>59</v>
      </c>
      <c r="S7" s="41" t="s">
        <v>71</v>
      </c>
      <c r="T7" s="41" t="s">
        <v>71</v>
      </c>
      <c r="U7" s="41" t="s">
        <v>71</v>
      </c>
      <c r="V7" s="32" t="s">
        <v>58</v>
      </c>
      <c r="W7" s="39" t="s">
        <v>62</v>
      </c>
      <c r="X7" s="39" t="s">
        <v>62</v>
      </c>
      <c r="Y7" s="39" t="s">
        <v>62</v>
      </c>
      <c r="Z7" s="39" t="s">
        <v>62</v>
      </c>
      <c r="AA7" s="32" t="s">
        <v>58</v>
      </c>
      <c r="AB7" s="33" t="s">
        <v>67</v>
      </c>
      <c r="AC7" s="83" t="s">
        <v>59</v>
      </c>
      <c r="AD7" s="33" t="s">
        <v>67</v>
      </c>
      <c r="AE7" s="33" t="s">
        <v>67</v>
      </c>
      <c r="AF7" s="32" t="s">
        <v>58</v>
      </c>
      <c r="AG7" s="34" t="s">
        <v>86</v>
      </c>
      <c r="AH7" s="77" t="s">
        <v>66</v>
      </c>
      <c r="AI7" s="34" t="s">
        <v>86</v>
      </c>
      <c r="AJ7" s="34" t="s">
        <v>86</v>
      </c>
      <c r="AK7" s="32" t="s">
        <v>58</v>
      </c>
      <c r="AL7" s="36" t="s">
        <v>78</v>
      </c>
      <c r="AM7" s="36" t="s">
        <v>78</v>
      </c>
      <c r="AN7" s="42" t="s">
        <v>80</v>
      </c>
      <c r="AO7" s="42" t="s">
        <v>80</v>
      </c>
      <c r="AP7" s="32" t="s">
        <v>58</v>
      </c>
      <c r="AQ7" s="39" t="s">
        <v>62</v>
      </c>
      <c r="AR7" s="83" t="s">
        <v>59</v>
      </c>
      <c r="AS7" s="39" t="s">
        <v>62</v>
      </c>
      <c r="AT7" s="39" t="s">
        <v>62</v>
      </c>
      <c r="AU7" s="83" t="s">
        <v>59</v>
      </c>
      <c r="AV7" s="38" t="s">
        <v>60</v>
      </c>
      <c r="AW7" s="38" t="s">
        <v>60</v>
      </c>
      <c r="AX7" s="83" t="s">
        <v>59</v>
      </c>
      <c r="AY7" s="38" t="s">
        <v>60</v>
      </c>
      <c r="AZ7" s="40" t="s">
        <v>58</v>
      </c>
      <c r="BA7" s="35" t="s">
        <v>77</v>
      </c>
      <c r="BB7" s="35" t="s">
        <v>77</v>
      </c>
      <c r="BC7" s="1">
        <f>COUNTIF(C7:AZ7,"CCIM")</f>
        <v>9</v>
      </c>
      <c r="BD7" s="1">
        <f>COUNTIF(C7:AZ7,"VAC")</f>
        <v>5</v>
      </c>
      <c r="BE7" s="1">
        <f>COUNTIF(C7:AZ7,"ELECTIVE")</f>
        <v>3</v>
      </c>
      <c r="BF7" s="1">
        <f>COUNTIF(C7:AZ7,"Wards-B")</f>
        <v>0</v>
      </c>
      <c r="BG7" s="1">
        <f>COUNTIF(C7:AZ7,"Wards-R")</f>
        <v>11</v>
      </c>
      <c r="BH7" s="1">
        <f>COUNTIF(C7:AZ7,"MICU 1")</f>
        <v>7</v>
      </c>
      <c r="BI7" s="1">
        <f>COUNTIF(C7:AZ7,"Met Wards")</f>
        <v>0</v>
      </c>
      <c r="BJ7" s="1">
        <f>COUNTIF(C7:AZ7,"MICUMETRO1")</f>
        <v>0</v>
      </c>
      <c r="BK7" s="1">
        <f>COUNTIF(C7:AZ7,"MICUMETRO2")</f>
        <v>1</v>
      </c>
      <c r="BL7" s="1">
        <f>COUNTIF(C7:AZ7,"NF")</f>
        <v>3</v>
      </c>
      <c r="BM7" s="1">
        <f>COUNTIF(C7:AZ7,"NFMETRO")</f>
        <v>0</v>
      </c>
      <c r="BN7" s="1">
        <f>COUNTIF(C7:AZ7,"EM")</f>
        <v>4</v>
      </c>
      <c r="BO7" s="1">
        <f>COUNTIF(C7:AZ7,"ADD MED")</f>
        <v>0</v>
      </c>
      <c r="BP7" s="1">
        <f>COUNTIF(C7:AZ7,"CARD")</f>
        <v>3</v>
      </c>
      <c r="BQ7" s="1">
        <f>COUNTIF(C7:AZ7,"ENDO")</f>
        <v>0</v>
      </c>
      <c r="BR7" s="1">
        <f>COUNTIF(C7:AZ7,"GERI")</f>
        <v>0</v>
      </c>
      <c r="BS7" s="1">
        <f>COUNTIF(C7:AZ7,"GI")</f>
        <v>0</v>
      </c>
      <c r="BT7" s="1">
        <f>COUNTIF(C7:AZ7,"HPC")</f>
        <v>0</v>
      </c>
      <c r="BU7" s="1">
        <f>COUNTIF(C7:AZ7,"HEM/ONC")</f>
        <v>0</v>
      </c>
      <c r="BV7" s="1">
        <f>COUNTIF(C7:AZ7,"ID")</f>
        <v>0</v>
      </c>
      <c r="BW7" s="1">
        <f>COUNTIF(C7:AZ7,"NEPH")</f>
        <v>2</v>
      </c>
      <c r="BX7" s="1">
        <f>COUNTIF(C7:AZ7,"NEURO")</f>
        <v>0</v>
      </c>
      <c r="BY7" s="1">
        <f>COUNTIF(C7:AZ7,"PULM")</f>
        <v>2</v>
      </c>
      <c r="BZ7" s="1">
        <f>COUNTIF(C7:AZ7,"RHEUM")</f>
        <v>0</v>
      </c>
    </row>
    <row r="8" spans="1:78" ht="15.75">
      <c r="A8" s="88"/>
      <c r="B8" s="46" t="s">
        <v>93</v>
      </c>
      <c r="C8" s="39" t="s">
        <v>62</v>
      </c>
      <c r="D8" s="39" t="s">
        <v>62</v>
      </c>
      <c r="E8" s="39" t="s">
        <v>62</v>
      </c>
      <c r="F8" s="39" t="s">
        <v>62</v>
      </c>
      <c r="G8" s="32" t="s">
        <v>58</v>
      </c>
      <c r="H8" s="47" t="s">
        <v>74</v>
      </c>
      <c r="I8" s="47" t="s">
        <v>74</v>
      </c>
      <c r="J8" s="47" t="s">
        <v>74</v>
      </c>
      <c r="K8" s="47" t="s">
        <v>74</v>
      </c>
      <c r="L8" s="32" t="s">
        <v>58</v>
      </c>
      <c r="M8" s="34" t="s">
        <v>86</v>
      </c>
      <c r="N8" s="34" t="s">
        <v>86</v>
      </c>
      <c r="O8" s="34" t="s">
        <v>86</v>
      </c>
      <c r="P8" s="34" t="s">
        <v>86</v>
      </c>
      <c r="Q8" s="83" t="s">
        <v>59</v>
      </c>
      <c r="R8" s="49" t="s">
        <v>76</v>
      </c>
      <c r="S8" s="49" t="s">
        <v>76</v>
      </c>
      <c r="T8" s="49" t="s">
        <v>76</v>
      </c>
      <c r="U8" s="49" t="s">
        <v>76</v>
      </c>
      <c r="V8" s="83" t="s">
        <v>59</v>
      </c>
      <c r="W8" s="31" t="s">
        <v>61</v>
      </c>
      <c r="X8" s="31" t="s">
        <v>61</v>
      </c>
      <c r="Y8" s="31" t="s">
        <v>61</v>
      </c>
      <c r="Z8" s="31" t="s">
        <v>61</v>
      </c>
      <c r="AA8" s="32" t="s">
        <v>58</v>
      </c>
      <c r="AB8" s="33" t="s">
        <v>67</v>
      </c>
      <c r="AC8" s="33" t="s">
        <v>67</v>
      </c>
      <c r="AD8" s="33" t="s">
        <v>67</v>
      </c>
      <c r="AE8" s="33" t="s">
        <v>67</v>
      </c>
      <c r="AF8" s="32" t="s">
        <v>58</v>
      </c>
      <c r="AG8" s="77" t="s">
        <v>66</v>
      </c>
      <c r="AH8" s="34" t="s">
        <v>86</v>
      </c>
      <c r="AI8" s="77" t="s">
        <v>66</v>
      </c>
      <c r="AJ8" s="77" t="s">
        <v>66</v>
      </c>
      <c r="AK8" s="32" t="s">
        <v>58</v>
      </c>
      <c r="AL8" s="51" t="s">
        <v>81</v>
      </c>
      <c r="AM8" s="51" t="s">
        <v>81</v>
      </c>
      <c r="AN8" s="51" t="s">
        <v>81</v>
      </c>
      <c r="AO8" s="51" t="s">
        <v>81</v>
      </c>
      <c r="AP8" s="32" t="s">
        <v>58</v>
      </c>
      <c r="AQ8" s="39" t="s">
        <v>62</v>
      </c>
      <c r="AR8" s="39" t="s">
        <v>62</v>
      </c>
      <c r="AS8" s="39" t="s">
        <v>62</v>
      </c>
      <c r="AT8" s="39" t="s">
        <v>62</v>
      </c>
      <c r="AU8" s="40" t="s">
        <v>58</v>
      </c>
      <c r="AV8" s="52" t="s">
        <v>79</v>
      </c>
      <c r="AW8" s="52" t="s">
        <v>79</v>
      </c>
      <c r="AX8" s="52" t="s">
        <v>79</v>
      </c>
      <c r="AY8" s="52" t="s">
        <v>79</v>
      </c>
      <c r="AZ8" s="40" t="s">
        <v>58</v>
      </c>
      <c r="BA8" s="73" t="s">
        <v>60</v>
      </c>
      <c r="BB8" s="73" t="s">
        <v>60</v>
      </c>
      <c r="BC8" s="1">
        <f t="shared" si="1"/>
        <v>8</v>
      </c>
      <c r="BD8" s="1">
        <f t="shared" si="2"/>
        <v>2</v>
      </c>
      <c r="BE8" s="1">
        <f t="shared" si="0"/>
        <v>2</v>
      </c>
      <c r="BF8" s="1">
        <f t="shared" si="3"/>
        <v>4</v>
      </c>
      <c r="BG8" s="1">
        <f t="shared" si="4"/>
        <v>8</v>
      </c>
      <c r="BH8" s="1">
        <f t="shared" si="5"/>
        <v>5</v>
      </c>
      <c r="BI8" s="1">
        <f t="shared" si="6"/>
        <v>0</v>
      </c>
      <c r="BJ8" s="1">
        <f t="shared" si="7"/>
        <v>0</v>
      </c>
      <c r="BK8" s="1">
        <f t="shared" si="8"/>
        <v>3</v>
      </c>
      <c r="BL8" s="1">
        <f t="shared" si="9"/>
        <v>4</v>
      </c>
      <c r="BM8" s="1">
        <f t="shared" si="10"/>
        <v>0</v>
      </c>
      <c r="BN8" s="1">
        <f t="shared" si="11"/>
        <v>0</v>
      </c>
      <c r="BO8" s="1">
        <f t="shared" si="12"/>
        <v>0</v>
      </c>
      <c r="BP8" s="1">
        <f t="shared" si="13"/>
        <v>0</v>
      </c>
      <c r="BQ8" s="1">
        <f t="shared" si="14"/>
        <v>0</v>
      </c>
      <c r="BR8" s="1">
        <f t="shared" si="15"/>
        <v>0</v>
      </c>
      <c r="BS8" s="1">
        <f t="shared" si="16"/>
        <v>4</v>
      </c>
      <c r="BT8" s="1">
        <f t="shared" si="17"/>
        <v>0</v>
      </c>
      <c r="BU8" s="1">
        <f t="shared" si="18"/>
        <v>4</v>
      </c>
      <c r="BV8" s="1">
        <f t="shared" si="19"/>
        <v>0</v>
      </c>
      <c r="BW8" s="1">
        <f t="shared" si="20"/>
        <v>0</v>
      </c>
      <c r="BX8" s="1">
        <f t="shared" si="21"/>
        <v>4</v>
      </c>
      <c r="BY8" s="1">
        <f t="shared" si="22"/>
        <v>0</v>
      </c>
      <c r="BZ8" s="1">
        <f t="shared" si="23"/>
        <v>4</v>
      </c>
    </row>
    <row r="9" spans="1:78" ht="16.5" thickBot="1">
      <c r="A9" s="88"/>
      <c r="B9" s="46" t="s">
        <v>94</v>
      </c>
      <c r="C9" s="31" t="s">
        <v>61</v>
      </c>
      <c r="D9" s="31" t="s">
        <v>61</v>
      </c>
      <c r="E9" s="31" t="s">
        <v>61</v>
      </c>
      <c r="F9" s="31" t="s">
        <v>61</v>
      </c>
      <c r="G9" s="32" t="s">
        <v>58</v>
      </c>
      <c r="H9" s="33" t="s">
        <v>67</v>
      </c>
      <c r="I9" s="33" t="s">
        <v>67</v>
      </c>
      <c r="J9" s="33" t="s">
        <v>67</v>
      </c>
      <c r="K9" s="33" t="s">
        <v>67</v>
      </c>
      <c r="L9" s="32" t="s">
        <v>58</v>
      </c>
      <c r="M9" s="34" t="s">
        <v>86</v>
      </c>
      <c r="N9" s="34" t="s">
        <v>86</v>
      </c>
      <c r="O9" s="34" t="s">
        <v>86</v>
      </c>
      <c r="P9" s="34" t="s">
        <v>86</v>
      </c>
      <c r="Q9" s="32" t="s">
        <v>58</v>
      </c>
      <c r="R9" s="52" t="s">
        <v>79</v>
      </c>
      <c r="S9" s="52" t="s">
        <v>79</v>
      </c>
      <c r="T9" s="52" t="s">
        <v>79</v>
      </c>
      <c r="U9" s="52" t="s">
        <v>79</v>
      </c>
      <c r="V9" s="32" t="s">
        <v>58</v>
      </c>
      <c r="W9" s="39" t="s">
        <v>62</v>
      </c>
      <c r="X9" s="39" t="s">
        <v>62</v>
      </c>
      <c r="Y9" s="39" t="s">
        <v>62</v>
      </c>
      <c r="Z9" s="39" t="s">
        <v>62</v>
      </c>
      <c r="AA9" s="32" t="s">
        <v>58</v>
      </c>
      <c r="AB9" s="51" t="s">
        <v>81</v>
      </c>
      <c r="AC9" s="51" t="s">
        <v>81</v>
      </c>
      <c r="AD9" s="51" t="s">
        <v>81</v>
      </c>
      <c r="AE9" s="51" t="s">
        <v>81</v>
      </c>
      <c r="AF9" s="32" t="s">
        <v>58</v>
      </c>
      <c r="AG9" s="77" t="s">
        <v>66</v>
      </c>
      <c r="AH9" s="77" t="s">
        <v>66</v>
      </c>
      <c r="AI9" s="77" t="s">
        <v>66</v>
      </c>
      <c r="AJ9" s="77" t="s">
        <v>66</v>
      </c>
      <c r="AK9" s="32" t="s">
        <v>58</v>
      </c>
      <c r="AL9" s="49" t="s">
        <v>76</v>
      </c>
      <c r="AM9" s="34" t="s">
        <v>95</v>
      </c>
      <c r="AN9" s="49" t="s">
        <v>76</v>
      </c>
      <c r="AO9" s="49" t="s">
        <v>76</v>
      </c>
      <c r="AP9" s="32" t="s">
        <v>58</v>
      </c>
      <c r="AQ9" s="45" t="s">
        <v>64</v>
      </c>
      <c r="AR9" s="45" t="s">
        <v>64</v>
      </c>
      <c r="AS9" s="45" t="s">
        <v>64</v>
      </c>
      <c r="AT9" s="45" t="s">
        <v>64</v>
      </c>
      <c r="AU9" s="40" t="s">
        <v>58</v>
      </c>
      <c r="AV9" s="47" t="s">
        <v>74</v>
      </c>
      <c r="AW9" s="47" t="s">
        <v>74</v>
      </c>
      <c r="AX9" s="47" t="s">
        <v>74</v>
      </c>
      <c r="AY9" s="47" t="s">
        <v>74</v>
      </c>
      <c r="AZ9" s="40" t="s">
        <v>58</v>
      </c>
      <c r="BA9" s="73" t="s">
        <v>60</v>
      </c>
      <c r="BB9" s="73" t="s">
        <v>60</v>
      </c>
      <c r="BC9" s="1">
        <f t="shared" si="1"/>
        <v>10</v>
      </c>
      <c r="BD9" s="1">
        <f t="shared" si="2"/>
        <v>0</v>
      </c>
      <c r="BE9" s="1">
        <f t="shared" si="0"/>
        <v>2</v>
      </c>
      <c r="BF9" s="1">
        <f t="shared" si="3"/>
        <v>4</v>
      </c>
      <c r="BG9" s="1">
        <f t="shared" si="4"/>
        <v>4</v>
      </c>
      <c r="BH9" s="1">
        <f t="shared" si="5"/>
        <v>4</v>
      </c>
      <c r="BI9" s="1">
        <f t="shared" si="6"/>
        <v>4</v>
      </c>
      <c r="BJ9" s="1">
        <f t="shared" si="7"/>
        <v>0</v>
      </c>
      <c r="BK9" s="1">
        <f t="shared" si="8"/>
        <v>4</v>
      </c>
      <c r="BL9" s="1">
        <f t="shared" si="9"/>
        <v>4</v>
      </c>
      <c r="BM9" s="1">
        <f t="shared" si="10"/>
        <v>0</v>
      </c>
      <c r="BN9" s="1">
        <f t="shared" si="11"/>
        <v>0</v>
      </c>
      <c r="BO9" s="1">
        <f t="shared" si="12"/>
        <v>0</v>
      </c>
      <c r="BP9" s="1">
        <f t="shared" si="13"/>
        <v>0</v>
      </c>
      <c r="BQ9" s="1">
        <f t="shared" si="14"/>
        <v>0</v>
      </c>
      <c r="BR9" s="1">
        <f t="shared" si="15"/>
        <v>0</v>
      </c>
      <c r="BS9" s="1">
        <f t="shared" si="16"/>
        <v>4</v>
      </c>
      <c r="BT9" s="1">
        <f t="shared" si="17"/>
        <v>0</v>
      </c>
      <c r="BU9" s="1">
        <f t="shared" si="18"/>
        <v>3</v>
      </c>
      <c r="BV9" s="1">
        <f t="shared" si="19"/>
        <v>0</v>
      </c>
      <c r="BW9" s="1">
        <f t="shared" si="20"/>
        <v>0</v>
      </c>
      <c r="BX9" s="1">
        <f t="shared" si="21"/>
        <v>4</v>
      </c>
      <c r="BY9" s="1">
        <f t="shared" si="22"/>
        <v>0</v>
      </c>
      <c r="BZ9" s="1">
        <f t="shared" si="23"/>
        <v>4</v>
      </c>
    </row>
    <row r="10" spans="1:78" ht="15.75">
      <c r="A10" s="87" t="s">
        <v>96</v>
      </c>
      <c r="B10" s="53" t="s">
        <v>97</v>
      </c>
      <c r="C10" s="42" t="s">
        <v>80</v>
      </c>
      <c r="D10" s="42" t="s">
        <v>80</v>
      </c>
      <c r="E10" s="42" t="s">
        <v>80</v>
      </c>
      <c r="F10" s="32" t="s">
        <v>58</v>
      </c>
      <c r="G10" s="31" t="s">
        <v>61</v>
      </c>
      <c r="H10" s="31" t="s">
        <v>61</v>
      </c>
      <c r="I10" s="31" t="s">
        <v>61</v>
      </c>
      <c r="J10" s="31" t="s">
        <v>61</v>
      </c>
      <c r="K10" s="32" t="s">
        <v>58</v>
      </c>
      <c r="L10" s="33" t="s">
        <v>67</v>
      </c>
      <c r="M10" s="33" t="s">
        <v>67</v>
      </c>
      <c r="N10" s="33" t="s">
        <v>67</v>
      </c>
      <c r="O10" s="33" t="s">
        <v>67</v>
      </c>
      <c r="P10" s="32" t="s">
        <v>58</v>
      </c>
      <c r="Q10" s="34" t="s">
        <v>86</v>
      </c>
      <c r="R10" s="34" t="s">
        <v>86</v>
      </c>
      <c r="S10" s="34" t="s">
        <v>86</v>
      </c>
      <c r="T10" s="83" t="s">
        <v>59</v>
      </c>
      <c r="U10" s="32" t="s">
        <v>58</v>
      </c>
      <c r="V10" s="35" t="s">
        <v>77</v>
      </c>
      <c r="W10" s="35" t="s">
        <v>77</v>
      </c>
      <c r="X10" s="36" t="s">
        <v>78</v>
      </c>
      <c r="Y10" s="36" t="s">
        <v>78</v>
      </c>
      <c r="Z10" s="32" t="s">
        <v>58</v>
      </c>
      <c r="AA10" s="45" t="s">
        <v>64</v>
      </c>
      <c r="AB10" s="45" t="s">
        <v>64</v>
      </c>
      <c r="AC10" s="45" t="s">
        <v>64</v>
      </c>
      <c r="AD10" s="45" t="s">
        <v>64</v>
      </c>
      <c r="AE10" s="32" t="s">
        <v>58</v>
      </c>
      <c r="AF10" s="83" t="s">
        <v>59</v>
      </c>
      <c r="AG10" s="37" t="s">
        <v>69</v>
      </c>
      <c r="AH10" s="37" t="s">
        <v>69</v>
      </c>
      <c r="AI10" s="37" t="s">
        <v>69</v>
      </c>
      <c r="AJ10" s="32" t="s">
        <v>58</v>
      </c>
      <c r="AK10" s="34" t="s">
        <v>86</v>
      </c>
      <c r="AL10" s="34" t="s">
        <v>86</v>
      </c>
      <c r="AM10" s="83" t="s">
        <v>59</v>
      </c>
      <c r="AN10" s="34" t="s">
        <v>86</v>
      </c>
      <c r="AO10" s="32" t="s">
        <v>58</v>
      </c>
      <c r="AP10" s="41" t="s">
        <v>71</v>
      </c>
      <c r="AQ10" s="41" t="s">
        <v>71</v>
      </c>
      <c r="AR10" s="41" t="s">
        <v>71</v>
      </c>
      <c r="AS10" s="41" t="s">
        <v>71</v>
      </c>
      <c r="AT10" s="40" t="s">
        <v>58</v>
      </c>
      <c r="AU10" s="39" t="s">
        <v>62</v>
      </c>
      <c r="AV10" s="39" t="s">
        <v>62</v>
      </c>
      <c r="AW10" s="39" t="s">
        <v>62</v>
      </c>
      <c r="AX10" s="39" t="s">
        <v>62</v>
      </c>
      <c r="AY10" s="40" t="s">
        <v>58</v>
      </c>
      <c r="AZ10" s="78" t="s">
        <v>98</v>
      </c>
      <c r="BA10" s="83" t="s">
        <v>59</v>
      </c>
      <c r="BB10" s="78" t="s">
        <v>98</v>
      </c>
      <c r="BC10" s="1">
        <f t="shared" si="1"/>
        <v>10</v>
      </c>
      <c r="BD10" s="1">
        <f t="shared" si="2"/>
        <v>4</v>
      </c>
      <c r="BE10" s="1">
        <f t="shared" si="0"/>
        <v>0</v>
      </c>
      <c r="BF10" s="1">
        <f t="shared" si="3"/>
        <v>4</v>
      </c>
      <c r="BG10" s="1">
        <f t="shared" si="4"/>
        <v>4</v>
      </c>
      <c r="BH10" s="1">
        <f t="shared" si="5"/>
        <v>6</v>
      </c>
      <c r="BI10" s="1">
        <f t="shared" si="6"/>
        <v>4</v>
      </c>
      <c r="BJ10" s="1">
        <f t="shared" si="7"/>
        <v>0</v>
      </c>
      <c r="BK10" s="1">
        <f t="shared" si="8"/>
        <v>0</v>
      </c>
      <c r="BL10" s="1">
        <f t="shared" si="9"/>
        <v>4</v>
      </c>
      <c r="BM10" s="1">
        <f t="shared" si="10"/>
        <v>0</v>
      </c>
      <c r="BN10" s="1">
        <f t="shared" si="11"/>
        <v>3</v>
      </c>
      <c r="BO10" s="1">
        <f t="shared" si="12"/>
        <v>0</v>
      </c>
      <c r="BP10" s="1">
        <f t="shared" si="13"/>
        <v>4</v>
      </c>
      <c r="BQ10" s="1">
        <f t="shared" si="14"/>
        <v>0</v>
      </c>
      <c r="BR10" s="1">
        <f t="shared" si="15"/>
        <v>0</v>
      </c>
      <c r="BS10" s="1">
        <f t="shared" si="16"/>
        <v>0</v>
      </c>
      <c r="BT10" s="1">
        <f t="shared" si="17"/>
        <v>0</v>
      </c>
      <c r="BU10" s="1">
        <f t="shared" si="18"/>
        <v>0</v>
      </c>
      <c r="BV10" s="1">
        <f t="shared" si="19"/>
        <v>2</v>
      </c>
      <c r="BW10" s="1">
        <f t="shared" si="20"/>
        <v>2</v>
      </c>
      <c r="BX10" s="1">
        <f t="shared" si="21"/>
        <v>0</v>
      </c>
      <c r="BY10" s="1">
        <f t="shared" si="22"/>
        <v>3</v>
      </c>
      <c r="BZ10" s="1">
        <f t="shared" si="23"/>
        <v>0</v>
      </c>
    </row>
    <row r="11" spans="1:78" ht="15.75">
      <c r="A11" s="88"/>
      <c r="B11" s="44" t="s">
        <v>99</v>
      </c>
      <c r="C11" s="35" t="s">
        <v>77</v>
      </c>
      <c r="D11" s="35" t="s">
        <v>77</v>
      </c>
      <c r="E11" s="35" t="s">
        <v>77</v>
      </c>
      <c r="F11" s="32" t="s">
        <v>58</v>
      </c>
      <c r="G11" s="31" t="s">
        <v>61</v>
      </c>
      <c r="H11" s="31" t="s">
        <v>61</v>
      </c>
      <c r="I11" s="31" t="s">
        <v>61</v>
      </c>
      <c r="J11" s="31" t="s">
        <v>61</v>
      </c>
      <c r="K11" s="32" t="s">
        <v>58</v>
      </c>
      <c r="L11" s="37" t="s">
        <v>69</v>
      </c>
      <c r="M11" s="37" t="s">
        <v>69</v>
      </c>
      <c r="N11" s="83" t="s">
        <v>59</v>
      </c>
      <c r="O11" s="37" t="s">
        <v>69</v>
      </c>
      <c r="P11" s="32" t="s">
        <v>58</v>
      </c>
      <c r="Q11" s="34" t="s">
        <v>86</v>
      </c>
      <c r="R11" s="34" t="s">
        <v>86</v>
      </c>
      <c r="S11" s="83" t="s">
        <v>59</v>
      </c>
      <c r="T11" s="34" t="s">
        <v>86</v>
      </c>
      <c r="U11" s="32" t="s">
        <v>58</v>
      </c>
      <c r="V11" s="41" t="s">
        <v>71</v>
      </c>
      <c r="W11" s="41" t="s">
        <v>71</v>
      </c>
      <c r="X11" s="41" t="s">
        <v>71</v>
      </c>
      <c r="Y11" s="41" t="s">
        <v>71</v>
      </c>
      <c r="Z11" s="32" t="s">
        <v>58</v>
      </c>
      <c r="AA11" s="39" t="s">
        <v>62</v>
      </c>
      <c r="AB11" s="39" t="s">
        <v>62</v>
      </c>
      <c r="AC11" s="39" t="s">
        <v>62</v>
      </c>
      <c r="AD11" s="39" t="s">
        <v>62</v>
      </c>
      <c r="AE11" s="83" t="s">
        <v>59</v>
      </c>
      <c r="AF11" s="33" t="s">
        <v>67</v>
      </c>
      <c r="AG11" s="33" t="s">
        <v>67</v>
      </c>
      <c r="AH11" s="33" t="s">
        <v>67</v>
      </c>
      <c r="AI11" s="33" t="s">
        <v>67</v>
      </c>
      <c r="AJ11" s="32" t="s">
        <v>58</v>
      </c>
      <c r="AK11" s="34" t="s">
        <v>86</v>
      </c>
      <c r="AL11" s="34" t="s">
        <v>86</v>
      </c>
      <c r="AM11" s="34" t="s">
        <v>86</v>
      </c>
      <c r="AN11" s="34" t="s">
        <v>86</v>
      </c>
      <c r="AO11" s="32" t="s">
        <v>58</v>
      </c>
      <c r="AP11" s="63" t="s">
        <v>73</v>
      </c>
      <c r="AQ11" s="63" t="s">
        <v>73</v>
      </c>
      <c r="AR11" s="42" t="s">
        <v>80</v>
      </c>
      <c r="AS11" s="83" t="s">
        <v>59</v>
      </c>
      <c r="AT11" s="40" t="s">
        <v>58</v>
      </c>
      <c r="AU11" s="31" t="s">
        <v>61</v>
      </c>
      <c r="AV11" s="31" t="s">
        <v>61</v>
      </c>
      <c r="AW11" s="31" t="s">
        <v>61</v>
      </c>
      <c r="AX11" s="31" t="s">
        <v>61</v>
      </c>
      <c r="AY11" s="40" t="s">
        <v>58</v>
      </c>
      <c r="AZ11" s="42" t="s">
        <v>80</v>
      </c>
      <c r="BA11" s="36" t="s">
        <v>78</v>
      </c>
      <c r="BB11" s="36" t="s">
        <v>78</v>
      </c>
      <c r="BC11" s="1">
        <f>COUNTIF(C11:BB11,"CCIM")</f>
        <v>9</v>
      </c>
      <c r="BD11" s="1">
        <f>COUNTIF(C11:BB11,"VAC")</f>
        <v>4</v>
      </c>
      <c r="BE11" s="1">
        <f>COUNTIF(C11:BB11,"ELECTIVE")</f>
        <v>0</v>
      </c>
      <c r="BF11" s="1">
        <f>COUNTIF(C11:BB11,"Wards-B")</f>
        <v>8</v>
      </c>
      <c r="BG11" s="1">
        <f>COUNTIF(C11:BB11,"Wards-R")</f>
        <v>4</v>
      </c>
      <c r="BH11" s="1">
        <f>COUNTIF(C11:BB11,"MICU 1")</f>
        <v>7</v>
      </c>
      <c r="BI11" s="1">
        <f>COUNTIF(C11:BB11,"Met Wards")</f>
        <v>0</v>
      </c>
      <c r="BJ11" s="1">
        <f>COUNTIF(C11:BB11,"MICUMETRO1")</f>
        <v>0</v>
      </c>
      <c r="BK11" s="1">
        <f>COUNTIF(C11:BB11,"MICUMETRO2")</f>
        <v>0</v>
      </c>
      <c r="BL11" s="1">
        <f>COUNTIF(C11:BB11,"NF")</f>
        <v>4</v>
      </c>
      <c r="BM11" s="1">
        <f>COUNTIF(C11:BB11,"NFMETRO")</f>
        <v>0</v>
      </c>
      <c r="BN11" s="1">
        <f>COUNTIF(C11:BB11,"EM")</f>
        <v>3</v>
      </c>
      <c r="BO11" s="1">
        <f>COUNTIF(C11:BB11,"ADD MED")</f>
        <v>0</v>
      </c>
      <c r="BP11" s="1">
        <f>COUNTIF(C11:BB11,"CARD")</f>
        <v>4</v>
      </c>
      <c r="BQ11" s="1">
        <f>COUNTIF(C11:BB11,"ENDO")</f>
        <v>0</v>
      </c>
      <c r="BR11" s="1">
        <f>COUNTIF(C11:BB11,"GERI")</f>
        <v>2</v>
      </c>
      <c r="BS11" s="1">
        <f t="shared" si="16"/>
        <v>0</v>
      </c>
      <c r="BT11" s="1">
        <f>COUNTIF(C11:BB11,"HPC")</f>
        <v>0</v>
      </c>
      <c r="BU11" s="1">
        <f>COUNTIF(C11:BB11,"HEM/ONC")</f>
        <v>0</v>
      </c>
      <c r="BV11" s="1">
        <f>COUNTIF(C11:BB11,"ID")</f>
        <v>3</v>
      </c>
      <c r="BW11" s="1">
        <f>COUNTIF(C11:BB11,"NEPH")</f>
        <v>2</v>
      </c>
      <c r="BX11" s="1">
        <f>COUNTIF(C11:BB11,"NEURO")</f>
        <v>0</v>
      </c>
      <c r="BY11" s="1">
        <f>COUNTIF(C11:BB11,"PULM")</f>
        <v>2</v>
      </c>
      <c r="BZ11" s="1">
        <f>COUNTIF(C11:BB11,"RHEUM")</f>
        <v>0</v>
      </c>
    </row>
    <row r="12" spans="1:78" ht="15.75">
      <c r="A12" s="88"/>
      <c r="B12" s="44" t="s">
        <v>100</v>
      </c>
      <c r="C12" s="71" t="s">
        <v>64</v>
      </c>
      <c r="D12" s="71" t="s">
        <v>64</v>
      </c>
      <c r="E12" s="71" t="s">
        <v>64</v>
      </c>
      <c r="F12" s="32" t="s">
        <v>58</v>
      </c>
      <c r="G12" s="39" t="s">
        <v>62</v>
      </c>
      <c r="H12" s="39" t="s">
        <v>62</v>
      </c>
      <c r="I12" s="39" t="s">
        <v>62</v>
      </c>
      <c r="J12" s="39" t="s">
        <v>62</v>
      </c>
      <c r="K12" s="32" t="s">
        <v>58</v>
      </c>
      <c r="L12" s="33" t="s">
        <v>67</v>
      </c>
      <c r="M12" s="33" t="s">
        <v>67</v>
      </c>
      <c r="N12" s="33" t="s">
        <v>67</v>
      </c>
      <c r="O12" s="33" t="s">
        <v>67</v>
      </c>
      <c r="P12" s="32" t="s">
        <v>58</v>
      </c>
      <c r="Q12" s="83" t="s">
        <v>59</v>
      </c>
      <c r="R12" s="34" t="s">
        <v>86</v>
      </c>
      <c r="S12" s="34" t="s">
        <v>86</v>
      </c>
      <c r="T12" s="34" t="s">
        <v>86</v>
      </c>
      <c r="U12" s="32" t="s">
        <v>58</v>
      </c>
      <c r="V12" s="36" t="s">
        <v>78</v>
      </c>
      <c r="W12" s="36" t="s">
        <v>78</v>
      </c>
      <c r="X12" s="35" t="s">
        <v>77</v>
      </c>
      <c r="Y12" s="35" t="s">
        <v>77</v>
      </c>
      <c r="Z12" s="32" t="s">
        <v>58</v>
      </c>
      <c r="AA12" s="45" t="s">
        <v>64</v>
      </c>
      <c r="AB12" s="45" t="s">
        <v>64</v>
      </c>
      <c r="AC12" s="45" t="s">
        <v>64</v>
      </c>
      <c r="AD12" s="45" t="s">
        <v>64</v>
      </c>
      <c r="AE12" s="32" t="s">
        <v>58</v>
      </c>
      <c r="AF12" s="37" t="s">
        <v>69</v>
      </c>
      <c r="AG12" s="37" t="s">
        <v>69</v>
      </c>
      <c r="AH12" s="37" t="s">
        <v>69</v>
      </c>
      <c r="AI12" s="37" t="s">
        <v>69</v>
      </c>
      <c r="AJ12" s="32" t="s">
        <v>58</v>
      </c>
      <c r="AK12" s="34" t="s">
        <v>86</v>
      </c>
      <c r="AL12" s="34" t="s">
        <v>86</v>
      </c>
      <c r="AM12" s="34" t="s">
        <v>86</v>
      </c>
      <c r="AN12" s="83" t="s">
        <v>59</v>
      </c>
      <c r="AO12" s="32" t="s">
        <v>58</v>
      </c>
      <c r="AP12" s="83" t="s">
        <v>59</v>
      </c>
      <c r="AQ12" s="41" t="s">
        <v>71</v>
      </c>
      <c r="AR12" s="41" t="s">
        <v>71</v>
      </c>
      <c r="AS12" s="41" t="s">
        <v>71</v>
      </c>
      <c r="AT12" s="40" t="s">
        <v>58</v>
      </c>
      <c r="AU12" s="31" t="s">
        <v>61</v>
      </c>
      <c r="AV12" s="31" t="s">
        <v>61</v>
      </c>
      <c r="AW12" s="31" t="s">
        <v>61</v>
      </c>
      <c r="AX12" s="31" t="s">
        <v>61</v>
      </c>
      <c r="AY12" s="40" t="s">
        <v>58</v>
      </c>
      <c r="AZ12" s="73" t="s">
        <v>60</v>
      </c>
      <c r="BA12" s="73" t="s">
        <v>60</v>
      </c>
      <c r="BB12" s="73" t="s">
        <v>60</v>
      </c>
      <c r="BC12" s="1">
        <f t="shared" si="1"/>
        <v>10</v>
      </c>
      <c r="BD12" s="1">
        <f t="shared" si="2"/>
        <v>3</v>
      </c>
      <c r="BE12" s="1">
        <f t="shared" si="0"/>
        <v>3</v>
      </c>
      <c r="BF12" s="1">
        <f t="shared" si="3"/>
        <v>4</v>
      </c>
      <c r="BG12" s="1">
        <f t="shared" si="4"/>
        <v>4</v>
      </c>
      <c r="BH12" s="1">
        <f t="shared" si="5"/>
        <v>6</v>
      </c>
      <c r="BI12" s="1">
        <f t="shared" si="6"/>
        <v>7</v>
      </c>
      <c r="BJ12" s="1">
        <f t="shared" si="7"/>
        <v>0</v>
      </c>
      <c r="BK12" s="1">
        <f t="shared" si="8"/>
        <v>0</v>
      </c>
      <c r="BL12" s="1">
        <f t="shared" si="9"/>
        <v>4</v>
      </c>
      <c r="BM12" s="1">
        <f t="shared" si="10"/>
        <v>0</v>
      </c>
      <c r="BN12" s="1">
        <f t="shared" si="11"/>
        <v>4</v>
      </c>
      <c r="BO12" s="1">
        <f t="shared" si="12"/>
        <v>0</v>
      </c>
      <c r="BP12" s="1">
        <f t="shared" si="13"/>
        <v>3</v>
      </c>
      <c r="BQ12" s="1">
        <f t="shared" si="14"/>
        <v>0</v>
      </c>
      <c r="BR12" s="1">
        <f t="shared" si="15"/>
        <v>0</v>
      </c>
      <c r="BS12" s="1">
        <f t="shared" si="16"/>
        <v>0</v>
      </c>
      <c r="BT12" s="1">
        <f t="shared" si="17"/>
        <v>0</v>
      </c>
      <c r="BU12" s="1">
        <f t="shared" si="18"/>
        <v>0</v>
      </c>
      <c r="BV12" s="1">
        <f t="shared" si="19"/>
        <v>2</v>
      </c>
      <c r="BW12" s="1">
        <f t="shared" si="20"/>
        <v>2</v>
      </c>
      <c r="BX12" s="1">
        <f t="shared" si="21"/>
        <v>0</v>
      </c>
      <c r="BY12" s="1">
        <f t="shared" si="22"/>
        <v>0</v>
      </c>
      <c r="BZ12" s="1">
        <f t="shared" si="23"/>
        <v>0</v>
      </c>
    </row>
    <row r="13" spans="1:78" ht="15.75">
      <c r="A13" s="88"/>
      <c r="B13" s="44" t="s">
        <v>101</v>
      </c>
      <c r="C13" s="36" t="s">
        <v>78</v>
      </c>
      <c r="D13" s="36" t="s">
        <v>78</v>
      </c>
      <c r="E13" s="36" t="s">
        <v>78</v>
      </c>
      <c r="F13" s="32" t="s">
        <v>58</v>
      </c>
      <c r="G13" s="39" t="s">
        <v>62</v>
      </c>
      <c r="H13" s="39" t="s">
        <v>62</v>
      </c>
      <c r="I13" s="39" t="s">
        <v>62</v>
      </c>
      <c r="J13" s="39" t="s">
        <v>62</v>
      </c>
      <c r="K13" s="32" t="s">
        <v>58</v>
      </c>
      <c r="L13" s="37" t="s">
        <v>69</v>
      </c>
      <c r="M13" s="37" t="s">
        <v>69</v>
      </c>
      <c r="N13" s="37" t="s">
        <v>69</v>
      </c>
      <c r="O13" s="37" t="s">
        <v>69</v>
      </c>
      <c r="P13" s="32" t="s">
        <v>58</v>
      </c>
      <c r="Q13" s="34" t="s">
        <v>86</v>
      </c>
      <c r="R13" s="34" t="s">
        <v>86</v>
      </c>
      <c r="S13" s="34" t="s">
        <v>86</v>
      </c>
      <c r="T13" s="34" t="s">
        <v>86</v>
      </c>
      <c r="U13" s="83" t="s">
        <v>59</v>
      </c>
      <c r="V13" s="41" t="s">
        <v>71</v>
      </c>
      <c r="W13" s="41" t="s">
        <v>71</v>
      </c>
      <c r="X13" s="41" t="s">
        <v>71</v>
      </c>
      <c r="Y13" s="41" t="s">
        <v>71</v>
      </c>
      <c r="Z13" s="32" t="s">
        <v>58</v>
      </c>
      <c r="AA13" s="39" t="s">
        <v>62</v>
      </c>
      <c r="AB13" s="83" t="s">
        <v>59</v>
      </c>
      <c r="AC13" s="39" t="s">
        <v>62</v>
      </c>
      <c r="AD13" s="39" t="s">
        <v>62</v>
      </c>
      <c r="AE13" s="32" t="s">
        <v>58</v>
      </c>
      <c r="AF13" s="33" t="s">
        <v>67</v>
      </c>
      <c r="AG13" s="33" t="s">
        <v>67</v>
      </c>
      <c r="AH13" s="33" t="s">
        <v>67</v>
      </c>
      <c r="AI13" s="83" t="s">
        <v>59</v>
      </c>
      <c r="AJ13" s="32" t="s">
        <v>58</v>
      </c>
      <c r="AK13" s="34" t="s">
        <v>86</v>
      </c>
      <c r="AL13" s="34" t="s">
        <v>86</v>
      </c>
      <c r="AM13" s="34" t="s">
        <v>86</v>
      </c>
      <c r="AN13" s="34" t="s">
        <v>86</v>
      </c>
      <c r="AO13" s="32" t="s">
        <v>58</v>
      </c>
      <c r="AP13" s="79" t="s">
        <v>88</v>
      </c>
      <c r="AQ13" s="79" t="s">
        <v>88</v>
      </c>
      <c r="AR13" s="79" t="s">
        <v>88</v>
      </c>
      <c r="AS13" s="79" t="s">
        <v>88</v>
      </c>
      <c r="AT13" s="40" t="s">
        <v>58</v>
      </c>
      <c r="AU13" s="39" t="s">
        <v>62</v>
      </c>
      <c r="AV13" s="39" t="s">
        <v>62</v>
      </c>
      <c r="AW13" s="39" t="s">
        <v>62</v>
      </c>
      <c r="AX13" s="39" t="s">
        <v>62</v>
      </c>
      <c r="AY13" s="40" t="s">
        <v>58</v>
      </c>
      <c r="AZ13" s="42" t="s">
        <v>80</v>
      </c>
      <c r="BA13" s="35" t="s">
        <v>77</v>
      </c>
      <c r="BB13" s="35" t="s">
        <v>77</v>
      </c>
      <c r="BC13" s="1">
        <f>COUNTIF(C13:BB13,"CCIM")</f>
        <v>9</v>
      </c>
      <c r="BD13" s="1">
        <f>COUNTIF(C13:BB13,"VAC")</f>
        <v>3</v>
      </c>
      <c r="BE13" s="1">
        <f>COUNTIF(C13:BB13,"ELECTIVE")</f>
        <v>0</v>
      </c>
      <c r="BF13" s="1">
        <f>COUNTIF(C13:BB13,"Wards-B")</f>
        <v>0</v>
      </c>
      <c r="BG13" s="1">
        <f>COUNTIF(C13:BB13,"Wards-R")</f>
        <v>11</v>
      </c>
      <c r="BH13" s="1">
        <f>COUNTIF(C13:BB13,"MICU 1")</f>
        <v>8</v>
      </c>
      <c r="BI13" s="1">
        <f>COUNTIF(C13:BB13,"Met Wards")</f>
        <v>0</v>
      </c>
      <c r="BJ13" s="1">
        <f>COUNTIF(C13:BB13,"MICUMETRO1")</f>
        <v>0</v>
      </c>
      <c r="BK13" s="1">
        <f>COUNTIF(C13:BB13,"MICUMETRO2")</f>
        <v>0</v>
      </c>
      <c r="BL13" s="1">
        <f>COUNTIF(C13:BB13,"NF")</f>
        <v>3</v>
      </c>
      <c r="BM13" s="1">
        <f>COUNTIF(C13:BB13,"NFMETRO")</f>
        <v>0</v>
      </c>
      <c r="BN13" s="1">
        <f>COUNTIF(C13:BB13,"EM")</f>
        <v>4</v>
      </c>
      <c r="BO13" s="1">
        <f>COUNTIF(C13:BB13,"ADD MED")</f>
        <v>0</v>
      </c>
      <c r="BP13" s="1">
        <f>COUNTIF(C13:BB13,"CARD")</f>
        <v>4</v>
      </c>
      <c r="BQ13" s="1">
        <f>COUNTIF(C13:BB13,"ENDO")</f>
        <v>0</v>
      </c>
      <c r="BR13" s="1">
        <f>COUNTIF(C13:BB13,"GERI")</f>
        <v>0</v>
      </c>
      <c r="BS13" s="1">
        <f t="shared" si="16"/>
        <v>0</v>
      </c>
      <c r="BT13" s="1">
        <f>COUNTIF(C13:BB13,"HPC")</f>
        <v>0</v>
      </c>
      <c r="BU13" s="1">
        <f>COUNTIF(C13:BB13,"HEM/ONC")</f>
        <v>0</v>
      </c>
      <c r="BV13" s="1">
        <f>COUNTIF(C13:BB13,"ID")</f>
        <v>2</v>
      </c>
      <c r="BW13" s="1">
        <f>COUNTIF(C13:BB13,"NEPH")</f>
        <v>3</v>
      </c>
      <c r="BX13" s="1">
        <f>COUNTIF(C13:BB13,"NEURO")</f>
        <v>0</v>
      </c>
      <c r="BY13" s="1">
        <f>COUNTIF(C13:BB13,"PULM")</f>
        <v>1</v>
      </c>
      <c r="BZ13" s="1">
        <f>COUNTIF(C13:BB13,"RHEUM")</f>
        <v>0</v>
      </c>
    </row>
    <row r="14" spans="1:78" ht="15.75">
      <c r="A14" s="88"/>
      <c r="B14" s="46" t="s">
        <v>102</v>
      </c>
      <c r="C14" s="51" t="s">
        <v>81</v>
      </c>
      <c r="D14" s="51" t="s">
        <v>81</v>
      </c>
      <c r="E14" s="51" t="s">
        <v>81</v>
      </c>
      <c r="F14" s="32" t="s">
        <v>58</v>
      </c>
      <c r="G14" s="31" t="s">
        <v>61</v>
      </c>
      <c r="H14" s="31" t="s">
        <v>61</v>
      </c>
      <c r="I14" s="31" t="s">
        <v>61</v>
      </c>
      <c r="J14" s="31" t="s">
        <v>61</v>
      </c>
      <c r="K14" s="32" t="s">
        <v>58</v>
      </c>
      <c r="L14" s="47" t="s">
        <v>74</v>
      </c>
      <c r="M14" s="47" t="s">
        <v>74</v>
      </c>
      <c r="N14" s="47" t="s">
        <v>74</v>
      </c>
      <c r="O14" s="47" t="s">
        <v>74</v>
      </c>
      <c r="P14" s="32" t="s">
        <v>58</v>
      </c>
      <c r="Q14" s="34" t="s">
        <v>86</v>
      </c>
      <c r="R14" s="34" t="s">
        <v>86</v>
      </c>
      <c r="S14" s="34" t="s">
        <v>86</v>
      </c>
      <c r="T14" s="34" t="s">
        <v>86</v>
      </c>
      <c r="U14" s="32" t="s">
        <v>58</v>
      </c>
      <c r="V14" s="49" t="s">
        <v>76</v>
      </c>
      <c r="W14" s="49" t="s">
        <v>76</v>
      </c>
      <c r="X14" s="49" t="s">
        <v>76</v>
      </c>
      <c r="Y14" s="49" t="s">
        <v>76</v>
      </c>
      <c r="Z14" s="32" t="s">
        <v>58</v>
      </c>
      <c r="AA14" s="45" t="s">
        <v>64</v>
      </c>
      <c r="AB14" s="45" t="s">
        <v>64</v>
      </c>
      <c r="AC14" s="45" t="s">
        <v>64</v>
      </c>
      <c r="AD14" s="45" t="s">
        <v>64</v>
      </c>
      <c r="AE14" s="32" t="s">
        <v>58</v>
      </c>
      <c r="AF14" s="33" t="s">
        <v>67</v>
      </c>
      <c r="AG14" s="33" t="s">
        <v>67</v>
      </c>
      <c r="AH14" s="33" t="s">
        <v>67</v>
      </c>
      <c r="AI14" s="33" t="s">
        <v>67</v>
      </c>
      <c r="AJ14" s="32" t="s">
        <v>58</v>
      </c>
      <c r="AK14" s="77" t="s">
        <v>66</v>
      </c>
      <c r="AL14" s="77" t="s">
        <v>66</v>
      </c>
      <c r="AM14" s="77" t="s">
        <v>66</v>
      </c>
      <c r="AN14" s="77" t="s">
        <v>66</v>
      </c>
      <c r="AO14" s="32" t="s">
        <v>58</v>
      </c>
      <c r="AP14" s="75" t="s">
        <v>103</v>
      </c>
      <c r="AQ14" s="83" t="s">
        <v>59</v>
      </c>
      <c r="AR14" s="75" t="s">
        <v>104</v>
      </c>
      <c r="AS14" s="75" t="s">
        <v>104</v>
      </c>
      <c r="AT14" s="40" t="s">
        <v>58</v>
      </c>
      <c r="AU14" s="39" t="s">
        <v>62</v>
      </c>
      <c r="AV14" s="39" t="s">
        <v>62</v>
      </c>
      <c r="AW14" s="39" t="s">
        <v>62</v>
      </c>
      <c r="AX14" s="39" t="s">
        <v>62</v>
      </c>
      <c r="AY14" s="40" t="s">
        <v>58</v>
      </c>
      <c r="AZ14" s="73" t="s">
        <v>60</v>
      </c>
      <c r="BA14" s="73" t="s">
        <v>60</v>
      </c>
      <c r="BB14" s="73" t="s">
        <v>60</v>
      </c>
      <c r="BC14" s="1">
        <f t="shared" si="1"/>
        <v>10</v>
      </c>
      <c r="BD14" s="1">
        <f t="shared" si="2"/>
        <v>1</v>
      </c>
      <c r="BE14" s="1">
        <f t="shared" si="0"/>
        <v>3</v>
      </c>
      <c r="BF14" s="1">
        <f t="shared" si="3"/>
        <v>4</v>
      </c>
      <c r="BG14" s="1">
        <f t="shared" si="4"/>
        <v>4</v>
      </c>
      <c r="BH14" s="1">
        <f t="shared" si="5"/>
        <v>4</v>
      </c>
      <c r="BI14" s="1">
        <f t="shared" si="6"/>
        <v>4</v>
      </c>
      <c r="BJ14" s="1">
        <f t="shared" si="7"/>
        <v>0</v>
      </c>
      <c r="BK14" s="1">
        <f t="shared" si="8"/>
        <v>4</v>
      </c>
      <c r="BL14" s="1">
        <f t="shared" si="9"/>
        <v>4</v>
      </c>
      <c r="BM14" s="1">
        <f t="shared" si="10"/>
        <v>0</v>
      </c>
      <c r="BN14" s="1">
        <f t="shared" si="11"/>
        <v>0</v>
      </c>
      <c r="BO14" s="1">
        <f t="shared" si="12"/>
        <v>0</v>
      </c>
      <c r="BP14" s="1">
        <f t="shared" si="13"/>
        <v>0</v>
      </c>
      <c r="BQ14" s="1">
        <f t="shared" si="14"/>
        <v>0</v>
      </c>
      <c r="BR14" s="1">
        <f t="shared" si="15"/>
        <v>0</v>
      </c>
      <c r="BS14" s="1">
        <f t="shared" si="16"/>
        <v>4</v>
      </c>
      <c r="BT14" s="1">
        <f t="shared" si="17"/>
        <v>0</v>
      </c>
      <c r="BU14" s="1">
        <f t="shared" si="18"/>
        <v>4</v>
      </c>
      <c r="BV14" s="1">
        <f t="shared" si="19"/>
        <v>0</v>
      </c>
      <c r="BW14" s="1">
        <f t="shared" si="20"/>
        <v>0</v>
      </c>
      <c r="BX14" s="1">
        <f t="shared" si="21"/>
        <v>0</v>
      </c>
      <c r="BY14" s="1">
        <f t="shared" si="22"/>
        <v>0</v>
      </c>
      <c r="BZ14" s="1">
        <f t="shared" si="23"/>
        <v>3</v>
      </c>
    </row>
    <row r="15" spans="1:78" ht="16.5" thickBot="1">
      <c r="A15" s="88"/>
      <c r="B15" s="46" t="s">
        <v>105</v>
      </c>
      <c r="C15" s="56" t="s">
        <v>58</v>
      </c>
      <c r="D15" s="56" t="s">
        <v>58</v>
      </c>
      <c r="E15" s="5" t="s">
        <v>59</v>
      </c>
      <c r="F15" s="32" t="s">
        <v>58</v>
      </c>
      <c r="G15" s="39" t="s">
        <v>62</v>
      </c>
      <c r="H15" s="39" t="s">
        <v>62</v>
      </c>
      <c r="I15" s="39" t="s">
        <v>62</v>
      </c>
      <c r="J15" s="39" t="s">
        <v>62</v>
      </c>
      <c r="K15" s="32" t="s">
        <v>58</v>
      </c>
      <c r="L15" s="33" t="s">
        <v>67</v>
      </c>
      <c r="M15" s="83" t="s">
        <v>59</v>
      </c>
      <c r="N15" s="33" t="s">
        <v>67</v>
      </c>
      <c r="O15" s="33" t="s">
        <v>67</v>
      </c>
      <c r="P15" s="32" t="s">
        <v>58</v>
      </c>
      <c r="Q15" s="76" t="s">
        <v>65</v>
      </c>
      <c r="R15" s="76" t="s">
        <v>65</v>
      </c>
      <c r="S15" s="76" t="s">
        <v>65</v>
      </c>
      <c r="T15" s="76" t="s">
        <v>65</v>
      </c>
      <c r="U15" s="32" t="s">
        <v>58</v>
      </c>
      <c r="V15" s="83" t="s">
        <v>59</v>
      </c>
      <c r="W15" s="52" t="s">
        <v>79</v>
      </c>
      <c r="X15" s="52" t="s">
        <v>79</v>
      </c>
      <c r="Y15" s="52" t="s">
        <v>79</v>
      </c>
      <c r="Z15" s="32" t="s">
        <v>58</v>
      </c>
      <c r="AA15" s="39" t="s">
        <v>62</v>
      </c>
      <c r="AB15" s="39" t="s">
        <v>62</v>
      </c>
      <c r="AC15" s="39" t="s">
        <v>62</v>
      </c>
      <c r="AD15" s="39" t="s">
        <v>62</v>
      </c>
      <c r="AE15" s="32" t="s">
        <v>58</v>
      </c>
      <c r="AF15" s="77" t="s">
        <v>66</v>
      </c>
      <c r="AG15" s="77" t="s">
        <v>66</v>
      </c>
      <c r="AH15" s="77" t="s">
        <v>66</v>
      </c>
      <c r="AI15" s="77" t="s">
        <v>66</v>
      </c>
      <c r="AJ15" s="32" t="s">
        <v>58</v>
      </c>
      <c r="AK15" s="47" t="s">
        <v>74</v>
      </c>
      <c r="AL15" s="47" t="s">
        <v>74</v>
      </c>
      <c r="AM15" s="47" t="s">
        <v>74</v>
      </c>
      <c r="AN15" s="47" t="s">
        <v>74</v>
      </c>
      <c r="AO15" s="32" t="s">
        <v>58</v>
      </c>
      <c r="AP15" s="83" t="s">
        <v>59</v>
      </c>
      <c r="AQ15" s="83" t="s">
        <v>59</v>
      </c>
      <c r="AR15" s="49" t="s">
        <v>76</v>
      </c>
      <c r="AS15" s="49" t="s">
        <v>76</v>
      </c>
      <c r="AT15" s="40" t="s">
        <v>58</v>
      </c>
      <c r="AU15" s="31" t="s">
        <v>61</v>
      </c>
      <c r="AV15" s="31" t="s">
        <v>61</v>
      </c>
      <c r="AW15" s="31" t="s">
        <v>61</v>
      </c>
      <c r="AX15" s="31" t="s">
        <v>61</v>
      </c>
      <c r="AY15" s="40" t="s">
        <v>58</v>
      </c>
      <c r="AZ15" s="51" t="s">
        <v>81</v>
      </c>
      <c r="BA15" s="51" t="s">
        <v>81</v>
      </c>
      <c r="BB15" s="51" t="s">
        <v>81</v>
      </c>
      <c r="BC15" s="1">
        <f t="shared" si="1"/>
        <v>12</v>
      </c>
      <c r="BD15" s="1">
        <f t="shared" si="2"/>
        <v>5</v>
      </c>
      <c r="BE15" s="1">
        <f t="shared" si="0"/>
        <v>0</v>
      </c>
      <c r="BF15" s="1">
        <f t="shared" si="3"/>
        <v>4</v>
      </c>
      <c r="BG15" s="1">
        <f t="shared" si="4"/>
        <v>8</v>
      </c>
      <c r="BH15" s="1">
        <f t="shared" si="5"/>
        <v>0</v>
      </c>
      <c r="BI15" s="1">
        <f t="shared" si="6"/>
        <v>0</v>
      </c>
      <c r="BJ15" s="1">
        <f t="shared" si="7"/>
        <v>4</v>
      </c>
      <c r="BK15" s="1">
        <f t="shared" si="8"/>
        <v>4</v>
      </c>
      <c r="BL15" s="1">
        <f t="shared" si="9"/>
        <v>3</v>
      </c>
      <c r="BM15" s="1">
        <f t="shared" si="10"/>
        <v>0</v>
      </c>
      <c r="BN15" s="1">
        <f t="shared" si="11"/>
        <v>0</v>
      </c>
      <c r="BO15" s="1">
        <f t="shared" si="12"/>
        <v>0</v>
      </c>
      <c r="BP15" s="1">
        <f t="shared" si="13"/>
        <v>0</v>
      </c>
      <c r="BQ15" s="1">
        <f t="shared" si="14"/>
        <v>0</v>
      </c>
      <c r="BR15" s="1">
        <f t="shared" si="15"/>
        <v>0</v>
      </c>
      <c r="BS15" s="1">
        <f t="shared" si="16"/>
        <v>4</v>
      </c>
      <c r="BT15" s="1">
        <f t="shared" si="17"/>
        <v>0</v>
      </c>
      <c r="BU15" s="1">
        <f t="shared" si="18"/>
        <v>2</v>
      </c>
      <c r="BV15" s="1">
        <f t="shared" si="19"/>
        <v>0</v>
      </c>
      <c r="BW15" s="1">
        <f t="shared" si="20"/>
        <v>0</v>
      </c>
      <c r="BX15" s="1">
        <f t="shared" si="21"/>
        <v>3</v>
      </c>
      <c r="BY15" s="1">
        <f t="shared" si="22"/>
        <v>0</v>
      </c>
      <c r="BZ15" s="1">
        <f t="shared" si="23"/>
        <v>3</v>
      </c>
    </row>
    <row r="16" spans="1:78" ht="15.75">
      <c r="A16" s="87" t="s">
        <v>106</v>
      </c>
      <c r="B16" s="53" t="s">
        <v>107</v>
      </c>
      <c r="C16" s="35" t="s">
        <v>77</v>
      </c>
      <c r="D16" s="35" t="s">
        <v>77</v>
      </c>
      <c r="E16" s="32" t="s">
        <v>58</v>
      </c>
      <c r="F16" s="42" t="s">
        <v>80</v>
      </c>
      <c r="G16" s="42" t="s">
        <v>80</v>
      </c>
      <c r="H16" s="36" t="s">
        <v>78</v>
      </c>
      <c r="I16" s="36" t="s">
        <v>78</v>
      </c>
      <c r="J16" s="32" t="s">
        <v>58</v>
      </c>
      <c r="K16" s="45" t="s">
        <v>64</v>
      </c>
      <c r="L16" s="45" t="s">
        <v>64</v>
      </c>
      <c r="M16" s="45" t="s">
        <v>64</v>
      </c>
      <c r="N16" s="83" t="s">
        <v>59</v>
      </c>
      <c r="O16" s="32" t="s">
        <v>58</v>
      </c>
      <c r="P16" s="33" t="s">
        <v>67</v>
      </c>
      <c r="Q16" s="33" t="s">
        <v>67</v>
      </c>
      <c r="R16" s="83" t="s">
        <v>59</v>
      </c>
      <c r="S16" s="33" t="s">
        <v>67</v>
      </c>
      <c r="T16" s="32" t="s">
        <v>58</v>
      </c>
      <c r="U16" s="34" t="s">
        <v>86</v>
      </c>
      <c r="V16" s="34" t="s">
        <v>86</v>
      </c>
      <c r="W16" s="34" t="s">
        <v>86</v>
      </c>
      <c r="X16" s="34" t="s">
        <v>86</v>
      </c>
      <c r="Y16" s="32" t="s">
        <v>58</v>
      </c>
      <c r="Z16" s="77" t="s">
        <v>66</v>
      </c>
      <c r="AA16" s="77" t="s">
        <v>66</v>
      </c>
      <c r="AB16" s="77" t="s">
        <v>66</v>
      </c>
      <c r="AC16" s="77" t="s">
        <v>66</v>
      </c>
      <c r="AD16" s="32" t="s">
        <v>58</v>
      </c>
      <c r="AE16" s="31" t="s">
        <v>61</v>
      </c>
      <c r="AF16" s="31" t="s">
        <v>61</v>
      </c>
      <c r="AG16" s="31" t="s">
        <v>61</v>
      </c>
      <c r="AH16" s="31" t="s">
        <v>61</v>
      </c>
      <c r="AI16" s="32" t="s">
        <v>58</v>
      </c>
      <c r="AJ16" s="37" t="s">
        <v>69</v>
      </c>
      <c r="AK16" s="37" t="s">
        <v>69</v>
      </c>
      <c r="AL16" s="37" t="s">
        <v>69</v>
      </c>
      <c r="AM16" s="37" t="s">
        <v>69</v>
      </c>
      <c r="AN16" s="40" t="s">
        <v>58</v>
      </c>
      <c r="AO16" s="79" t="s">
        <v>88</v>
      </c>
      <c r="AP16" s="82" t="s">
        <v>108</v>
      </c>
      <c r="AQ16" s="82" t="s">
        <v>108</v>
      </c>
      <c r="AR16" s="82" t="s">
        <v>108</v>
      </c>
      <c r="AS16" s="40" t="s">
        <v>58</v>
      </c>
      <c r="AT16" s="41" t="s">
        <v>71</v>
      </c>
      <c r="AU16" s="41" t="s">
        <v>71</v>
      </c>
      <c r="AV16" s="41" t="s">
        <v>71</v>
      </c>
      <c r="AW16" s="41" t="s">
        <v>71</v>
      </c>
      <c r="AX16" s="40" t="s">
        <v>58</v>
      </c>
      <c r="AY16" s="39" t="s">
        <v>62</v>
      </c>
      <c r="AZ16" s="39" t="s">
        <v>62</v>
      </c>
      <c r="BA16" s="39" t="s">
        <v>62</v>
      </c>
      <c r="BB16" s="39" t="s">
        <v>62</v>
      </c>
      <c r="BC16" s="1">
        <f>COUNTIF(C16:BB16,"CCIM")</f>
        <v>10</v>
      </c>
      <c r="BD16" s="1">
        <f>COUNTIF(C16:BB16,"VAC")</f>
        <v>2</v>
      </c>
      <c r="BE16" s="1">
        <f>COUNTIF(C16:BB16,"ELECTIVE")</f>
        <v>0</v>
      </c>
      <c r="BF16" s="1">
        <f>COUNTIF(C16:BB16,"Wards-B")</f>
        <v>4</v>
      </c>
      <c r="BG16" s="1">
        <f>COUNTIF(C16:BB16,"Wards-R")</f>
        <v>4</v>
      </c>
      <c r="BH16" s="1">
        <f t="shared" si="5"/>
        <v>4</v>
      </c>
      <c r="BI16" s="1">
        <f>COUNTIF(C16:BB16,"Met Wards")</f>
        <v>3</v>
      </c>
      <c r="BJ16" s="1">
        <f>COUNTIF(C16:BB16,"MICUMETRO1")</f>
        <v>0</v>
      </c>
      <c r="BK16" s="1">
        <f>COUNTIF(C16:BB16,"MICUMETRO2")</f>
        <v>4</v>
      </c>
      <c r="BL16" s="1">
        <f>COUNTIF(C16:BB16,"NF")</f>
        <v>3</v>
      </c>
      <c r="BM16" s="1">
        <f>COUNTIF(C16:BB16,"NFMETRO")</f>
        <v>0</v>
      </c>
      <c r="BN16" s="1">
        <f>COUNTIF(C16:BB16,"EM")</f>
        <v>4</v>
      </c>
      <c r="BO16" s="1">
        <f>COUNTIF(C16:BB16,"ADD MED")</f>
        <v>0</v>
      </c>
      <c r="BP16" s="1">
        <f>COUNTIF(C16:BB16,"CARD")</f>
        <v>4</v>
      </c>
      <c r="BQ16" s="1">
        <f>COUNTIF(C16:BB16,"ENDO")</f>
        <v>0</v>
      </c>
      <c r="BR16" s="1">
        <f>COUNTIF(C16:BB16,"GERI")</f>
        <v>0</v>
      </c>
      <c r="BS16" s="1">
        <f t="shared" si="16"/>
        <v>0</v>
      </c>
      <c r="BT16" s="1">
        <f>COUNTIF(C16:BB16,"HPC")</f>
        <v>0</v>
      </c>
      <c r="BU16" s="1">
        <f>COUNTIF(C16:BB16,"HEM/ONC")</f>
        <v>0</v>
      </c>
      <c r="BV16" s="1">
        <f>COUNTIF(C16:BB16,"ID")</f>
        <v>2</v>
      </c>
      <c r="BW16" s="1">
        <f>COUNTIF(C16:BB16,"NEPH")</f>
        <v>2</v>
      </c>
      <c r="BX16" s="1">
        <f>COUNTIF(C16:BB16,"NEURO")</f>
        <v>0</v>
      </c>
      <c r="BY16" s="1">
        <f>COUNTIF(C16:BB16,"PULM")</f>
        <v>2</v>
      </c>
      <c r="BZ16" s="1">
        <f>COUNTIF(C16:BB16,"RHEUM")</f>
        <v>0</v>
      </c>
    </row>
    <row r="17" spans="1:78" ht="14.25" customHeight="1">
      <c r="A17" s="88"/>
      <c r="B17" s="44" t="s">
        <v>109</v>
      </c>
      <c r="C17" s="41" t="s">
        <v>71</v>
      </c>
      <c r="D17" s="41" t="s">
        <v>71</v>
      </c>
      <c r="E17" s="32" t="s">
        <v>58</v>
      </c>
      <c r="F17" s="41" t="s">
        <v>71</v>
      </c>
      <c r="G17" s="41" t="s">
        <v>71</v>
      </c>
      <c r="H17" s="35" t="s">
        <v>77</v>
      </c>
      <c r="I17" s="35" t="s">
        <v>77</v>
      </c>
      <c r="J17" s="32" t="s">
        <v>58</v>
      </c>
      <c r="K17" s="45" t="s">
        <v>64</v>
      </c>
      <c r="L17" s="45" t="s">
        <v>64</v>
      </c>
      <c r="M17" s="83" t="s">
        <v>59</v>
      </c>
      <c r="N17" s="45" t="s">
        <v>64</v>
      </c>
      <c r="O17" s="32" t="s">
        <v>58</v>
      </c>
      <c r="P17" s="37" t="s">
        <v>69</v>
      </c>
      <c r="Q17" s="37" t="s">
        <v>69</v>
      </c>
      <c r="R17" s="37" t="s">
        <v>69</v>
      </c>
      <c r="S17" s="37" t="s">
        <v>69</v>
      </c>
      <c r="T17" s="32" t="s">
        <v>58</v>
      </c>
      <c r="U17" s="34" t="s">
        <v>86</v>
      </c>
      <c r="V17" s="34" t="s">
        <v>86</v>
      </c>
      <c r="W17" s="34" t="s">
        <v>86</v>
      </c>
      <c r="X17" s="34" t="s">
        <v>86</v>
      </c>
      <c r="Y17" s="83" t="s">
        <v>59</v>
      </c>
      <c r="Z17" s="42" t="s">
        <v>80</v>
      </c>
      <c r="AA17" s="42" t="s">
        <v>80</v>
      </c>
      <c r="AB17" s="79" t="s">
        <v>88</v>
      </c>
      <c r="AC17" s="79" t="s">
        <v>88</v>
      </c>
      <c r="AD17" s="32" t="s">
        <v>58</v>
      </c>
      <c r="AE17" s="39" t="s">
        <v>62</v>
      </c>
      <c r="AF17" s="39" t="s">
        <v>62</v>
      </c>
      <c r="AG17" s="39" t="s">
        <v>62</v>
      </c>
      <c r="AH17" s="39" t="s">
        <v>62</v>
      </c>
      <c r="AI17" s="32" t="s">
        <v>58</v>
      </c>
      <c r="AJ17" s="33" t="s">
        <v>67</v>
      </c>
      <c r="AK17" s="33" t="s">
        <v>67</v>
      </c>
      <c r="AL17" s="33" t="s">
        <v>67</v>
      </c>
      <c r="AM17" s="33" t="s">
        <v>67</v>
      </c>
      <c r="AN17" s="40" t="s">
        <v>58</v>
      </c>
      <c r="AO17" s="34" t="s">
        <v>86</v>
      </c>
      <c r="AP17" s="34" t="s">
        <v>86</v>
      </c>
      <c r="AQ17" s="34" t="s">
        <v>86</v>
      </c>
      <c r="AR17" s="34" t="s">
        <v>86</v>
      </c>
      <c r="AS17" s="40" t="s">
        <v>58</v>
      </c>
      <c r="AT17" s="79" t="s">
        <v>88</v>
      </c>
      <c r="AU17" s="79" t="s">
        <v>88</v>
      </c>
      <c r="AV17" s="36" t="s">
        <v>78</v>
      </c>
      <c r="AW17" s="36" t="s">
        <v>78</v>
      </c>
      <c r="AX17" s="40" t="s">
        <v>58</v>
      </c>
      <c r="AY17" s="31" t="s">
        <v>61</v>
      </c>
      <c r="AZ17" s="31" t="s">
        <v>61</v>
      </c>
      <c r="BA17" s="31" t="s">
        <v>61</v>
      </c>
      <c r="BB17" s="31" t="s">
        <v>61</v>
      </c>
      <c r="BC17" s="1">
        <f>COUNTIF(C17:BB17,"CCIM")</f>
        <v>9</v>
      </c>
      <c r="BD17" s="1">
        <f>COUNTIF(C17:BB17,"VAC")</f>
        <v>2</v>
      </c>
      <c r="BE17" s="1">
        <f>COUNTIF(C17:BB17,"ELECTIVE")</f>
        <v>0</v>
      </c>
      <c r="BF17" s="1">
        <f>COUNTIF(C17:BB17,"Wards-B")</f>
        <v>4</v>
      </c>
      <c r="BG17" s="1">
        <f>COUNTIF(C17:BB17,"Wards-R")</f>
        <v>4</v>
      </c>
      <c r="BH17" s="1">
        <f t="shared" si="5"/>
        <v>8</v>
      </c>
      <c r="BI17" s="1">
        <f>COUNTIF(C17:BB17,"Met Wards")</f>
        <v>3</v>
      </c>
      <c r="BJ17" s="1">
        <f>COUNTIF(C17:BB17,"MICUMETRO1")</f>
        <v>0</v>
      </c>
      <c r="BK17" s="1">
        <f>COUNTIF(C17:BB17,"MICUMETRO2")</f>
        <v>0</v>
      </c>
      <c r="BL17" s="1">
        <f>COUNTIF(C17:BB17,"NF")</f>
        <v>4</v>
      </c>
      <c r="BM17" s="1">
        <f>COUNTIF(C17:BB17,"NFMETRO")</f>
        <v>0</v>
      </c>
      <c r="BN17" s="1">
        <f>COUNTIF(C17:BB17,"EM")</f>
        <v>4</v>
      </c>
      <c r="BO17" s="1">
        <f>COUNTIF(C17:BB17,"ADD MED")</f>
        <v>0</v>
      </c>
      <c r="BP17" s="1">
        <f>COUNTIF(C17:BB17,"CARD")</f>
        <v>4</v>
      </c>
      <c r="BQ17" s="1">
        <f>COUNTIF(C17:BB17,"ENDO")</f>
        <v>0</v>
      </c>
      <c r="BR17" s="1">
        <f>COUNTIF(C17:BB17,"GERI")</f>
        <v>0</v>
      </c>
      <c r="BS17" s="1">
        <f t="shared" si="16"/>
        <v>0</v>
      </c>
      <c r="BT17" s="1">
        <f>COUNTIF(C17:BB17,"HPC")</f>
        <v>0</v>
      </c>
      <c r="BU17" s="1">
        <f>COUNTIF(C17:BB17,"HEM/ONC")</f>
        <v>0</v>
      </c>
      <c r="BV17" s="1">
        <f>COUNTIF(C17:BB17,"ID")</f>
        <v>2</v>
      </c>
      <c r="BW17" s="1">
        <f>COUNTIF(C17:BB17,"NEPH")</f>
        <v>2</v>
      </c>
      <c r="BX17" s="1">
        <f>COUNTIF(C17:BB17,"NEURO")</f>
        <v>0</v>
      </c>
      <c r="BY17" s="1">
        <f>COUNTIF(C17:BB17,"PULM")</f>
        <v>2</v>
      </c>
      <c r="BZ17" s="1">
        <f>COUNTIF(C17:BB17,"RHEUM")</f>
        <v>0</v>
      </c>
    </row>
    <row r="18" spans="1:78" ht="17.25" customHeight="1">
      <c r="A18" s="88"/>
      <c r="B18" s="44" t="s">
        <v>110</v>
      </c>
      <c r="C18" s="41" t="s">
        <v>71</v>
      </c>
      <c r="D18" s="41" t="s">
        <v>71</v>
      </c>
      <c r="E18" s="32" t="s">
        <v>58</v>
      </c>
      <c r="F18" s="41" t="s">
        <v>71</v>
      </c>
      <c r="G18" s="41" t="s">
        <v>71</v>
      </c>
      <c r="H18" s="35" t="s">
        <v>77</v>
      </c>
      <c r="I18" s="35" t="s">
        <v>77</v>
      </c>
      <c r="J18" s="32" t="s">
        <v>58</v>
      </c>
      <c r="K18" s="39" t="s">
        <v>62</v>
      </c>
      <c r="L18" s="39" t="s">
        <v>62</v>
      </c>
      <c r="M18" s="39" t="s">
        <v>62</v>
      </c>
      <c r="N18" s="39" t="s">
        <v>62</v>
      </c>
      <c r="O18" s="83" t="s">
        <v>59</v>
      </c>
      <c r="P18" s="33" t="s">
        <v>67</v>
      </c>
      <c r="Q18" s="33" t="s">
        <v>67</v>
      </c>
      <c r="R18" s="33" t="s">
        <v>67</v>
      </c>
      <c r="S18" s="33" t="s">
        <v>67</v>
      </c>
      <c r="T18" s="32" t="s">
        <v>58</v>
      </c>
      <c r="U18" s="34" t="s">
        <v>86</v>
      </c>
      <c r="V18" s="34" t="s">
        <v>86</v>
      </c>
      <c r="W18" s="34" t="s">
        <v>86</v>
      </c>
      <c r="X18" s="34" t="s">
        <v>86</v>
      </c>
      <c r="Y18" s="32" t="s">
        <v>58</v>
      </c>
      <c r="Z18" s="36" t="s">
        <v>78</v>
      </c>
      <c r="AA18" s="36" t="s">
        <v>78</v>
      </c>
      <c r="AB18" s="42" t="s">
        <v>80</v>
      </c>
      <c r="AC18" s="83" t="s">
        <v>59</v>
      </c>
      <c r="AD18" s="32" t="s">
        <v>58</v>
      </c>
      <c r="AE18" s="31" t="s">
        <v>61</v>
      </c>
      <c r="AF18" s="31" t="s">
        <v>61</v>
      </c>
      <c r="AG18" s="31" t="s">
        <v>61</v>
      </c>
      <c r="AH18" s="31" t="s">
        <v>61</v>
      </c>
      <c r="AI18" s="32" t="s">
        <v>58</v>
      </c>
      <c r="AJ18" s="37" t="s">
        <v>69</v>
      </c>
      <c r="AK18" s="37" t="s">
        <v>69</v>
      </c>
      <c r="AL18" s="37" t="s">
        <v>69</v>
      </c>
      <c r="AM18" s="83" t="s">
        <v>59</v>
      </c>
      <c r="AN18" s="40" t="s">
        <v>58</v>
      </c>
      <c r="AO18" s="34" t="s">
        <v>86</v>
      </c>
      <c r="AP18" s="34" t="s">
        <v>86</v>
      </c>
      <c r="AQ18" s="34" t="s">
        <v>86</v>
      </c>
      <c r="AR18" s="34" t="s">
        <v>86</v>
      </c>
      <c r="AS18" s="40" t="s">
        <v>58</v>
      </c>
      <c r="AT18" s="80" t="s">
        <v>111</v>
      </c>
      <c r="AU18" s="80" t="s">
        <v>111</v>
      </c>
      <c r="AV18" s="80" t="s">
        <v>111</v>
      </c>
      <c r="AW18" s="80" t="s">
        <v>111</v>
      </c>
      <c r="AX18" s="40" t="s">
        <v>58</v>
      </c>
      <c r="AY18" s="31" t="s">
        <v>61</v>
      </c>
      <c r="AZ18" s="31" t="s">
        <v>61</v>
      </c>
      <c r="BA18" s="31" t="s">
        <v>61</v>
      </c>
      <c r="BB18" s="31" t="s">
        <v>61</v>
      </c>
      <c r="BC18" s="1">
        <f>COUNTIF(C18:BB18,"CCIM")</f>
        <v>9</v>
      </c>
      <c r="BD18" s="1">
        <f>COUNTIF(C18:BB18,"VAC")</f>
        <v>3</v>
      </c>
      <c r="BE18" s="1">
        <f>COUNTIF(C18:BB18,"ELECTIVE")</f>
        <v>0</v>
      </c>
      <c r="BF18" s="1">
        <f>COUNTIF(C18:BB18,"Wards-B")</f>
        <v>8</v>
      </c>
      <c r="BG18" s="1">
        <f>COUNTIF(C18:BB18,"Wards-R")</f>
        <v>4</v>
      </c>
      <c r="BH18" s="1">
        <f t="shared" si="5"/>
        <v>8</v>
      </c>
      <c r="BI18" s="1">
        <f>COUNTIF(C18:BB18,"Met Wards")</f>
        <v>0</v>
      </c>
      <c r="BJ18" s="1">
        <f>COUNTIF(C18:BB18,"MICUMETRO1")</f>
        <v>0</v>
      </c>
      <c r="BK18" s="1">
        <f>COUNTIF(C18:BB18,"MICUMETRO2")</f>
        <v>0</v>
      </c>
      <c r="BL18" s="1">
        <f>COUNTIF(C18:BB18,"NF")</f>
        <v>4</v>
      </c>
      <c r="BM18" s="1">
        <f>COUNTIF(C18:BB18,"NFMETRO")</f>
        <v>0</v>
      </c>
      <c r="BN18" s="1">
        <f>COUNTIF(C18:BB18,"EM")</f>
        <v>3</v>
      </c>
      <c r="BO18" s="1">
        <f>COUNTIF(C18:BB18,"ADD MED")</f>
        <v>0</v>
      </c>
      <c r="BP18" s="1">
        <f>COUNTIF(C18:BB18,"CARD")</f>
        <v>4</v>
      </c>
      <c r="BQ18" s="1">
        <f>COUNTIF(C18:BB18,"ENDO")</f>
        <v>0</v>
      </c>
      <c r="BR18" s="1">
        <f>COUNTIF(C18:BB18,"GERI")</f>
        <v>0</v>
      </c>
      <c r="BS18" s="1">
        <f t="shared" si="16"/>
        <v>0</v>
      </c>
      <c r="BT18" s="1">
        <f>COUNTIF(C18:BB18,"HPC")</f>
        <v>0</v>
      </c>
      <c r="BU18" s="1">
        <f>COUNTIF(C18:BB18,"HEM/ONC")</f>
        <v>0</v>
      </c>
      <c r="BV18" s="1">
        <f>COUNTIF(C18:BB18,"ID")</f>
        <v>2</v>
      </c>
      <c r="BW18" s="1">
        <f>COUNTIF(C18:BB18,"NEPH")</f>
        <v>2</v>
      </c>
      <c r="BX18" s="1">
        <f>COUNTIF(C18:BB18,"NEURO")</f>
        <v>0</v>
      </c>
      <c r="BY18" s="1">
        <f>COUNTIF(C18:BB18,"PULM")</f>
        <v>1</v>
      </c>
      <c r="BZ18" s="1">
        <f>COUNTIF(C18:BB18,"RHEUM")</f>
        <v>0</v>
      </c>
    </row>
    <row r="19" spans="1:78" ht="15" customHeight="1">
      <c r="A19" s="88"/>
      <c r="B19" s="44" t="s">
        <v>112</v>
      </c>
      <c r="C19" s="36" t="s">
        <v>78</v>
      </c>
      <c r="D19" s="36" t="s">
        <v>78</v>
      </c>
      <c r="E19" s="32" t="s">
        <v>58</v>
      </c>
      <c r="F19" s="35" t="s">
        <v>77</v>
      </c>
      <c r="G19" s="35" t="s">
        <v>77</v>
      </c>
      <c r="H19" s="42" t="s">
        <v>80</v>
      </c>
      <c r="I19" s="42" t="s">
        <v>80</v>
      </c>
      <c r="J19" s="32" t="s">
        <v>58</v>
      </c>
      <c r="K19" s="39" t="s">
        <v>62</v>
      </c>
      <c r="L19" s="39" t="s">
        <v>62</v>
      </c>
      <c r="M19" s="39" t="s">
        <v>62</v>
      </c>
      <c r="N19" s="83" t="s">
        <v>59</v>
      </c>
      <c r="O19" s="32" t="s">
        <v>58</v>
      </c>
      <c r="P19" s="37" t="s">
        <v>69</v>
      </c>
      <c r="Q19" s="37" t="s">
        <v>69</v>
      </c>
      <c r="R19" s="83" t="s">
        <v>59</v>
      </c>
      <c r="S19" s="37" t="s">
        <v>69</v>
      </c>
      <c r="T19" s="32" t="s">
        <v>58</v>
      </c>
      <c r="U19" s="34" t="s">
        <v>86</v>
      </c>
      <c r="V19" s="34" t="s">
        <v>86</v>
      </c>
      <c r="W19" s="34" t="s">
        <v>86</v>
      </c>
      <c r="X19" s="34" t="s">
        <v>86</v>
      </c>
      <c r="Y19" s="32" t="s">
        <v>58</v>
      </c>
      <c r="Z19" s="41" t="s">
        <v>71</v>
      </c>
      <c r="AA19" s="41" t="s">
        <v>71</v>
      </c>
      <c r="AB19" s="41" t="s">
        <v>71</v>
      </c>
      <c r="AC19" s="41" t="s">
        <v>71</v>
      </c>
      <c r="AD19" s="32" t="s">
        <v>58</v>
      </c>
      <c r="AE19" s="39" t="s">
        <v>62</v>
      </c>
      <c r="AF19" s="39" t="s">
        <v>62</v>
      </c>
      <c r="AG19" s="39" t="s">
        <v>62</v>
      </c>
      <c r="AH19" s="39" t="s">
        <v>62</v>
      </c>
      <c r="AI19" s="32" t="s">
        <v>58</v>
      </c>
      <c r="AJ19" s="33" t="s">
        <v>67</v>
      </c>
      <c r="AK19" s="33" t="s">
        <v>67</v>
      </c>
      <c r="AL19" s="33" t="s">
        <v>67</v>
      </c>
      <c r="AM19" s="33" t="s">
        <v>67</v>
      </c>
      <c r="AN19" s="40" t="s">
        <v>58</v>
      </c>
      <c r="AO19" s="34" t="s">
        <v>86</v>
      </c>
      <c r="AP19" s="34" t="s">
        <v>86</v>
      </c>
      <c r="AQ19" s="34" t="s">
        <v>86</v>
      </c>
      <c r="AR19" s="34" t="s">
        <v>86</v>
      </c>
      <c r="AS19" s="40" t="s">
        <v>58</v>
      </c>
      <c r="AT19" s="83" t="s">
        <v>59</v>
      </c>
      <c r="AU19" s="73" t="s">
        <v>60</v>
      </c>
      <c r="AV19" s="73" t="s">
        <v>60</v>
      </c>
      <c r="AW19" s="73" t="s">
        <v>60</v>
      </c>
      <c r="AX19" s="83" t="s">
        <v>59</v>
      </c>
      <c r="AY19" s="39" t="s">
        <v>62</v>
      </c>
      <c r="AZ19" s="39" t="s">
        <v>62</v>
      </c>
      <c r="BA19" s="39" t="s">
        <v>62</v>
      </c>
      <c r="BB19" s="39" t="s">
        <v>62</v>
      </c>
      <c r="BC19" s="1">
        <f t="shared" si="1"/>
        <v>9</v>
      </c>
      <c r="BD19" s="1">
        <f t="shared" si="2"/>
        <v>4</v>
      </c>
      <c r="BE19" s="1">
        <f t="shared" si="0"/>
        <v>3</v>
      </c>
      <c r="BF19" s="1">
        <f t="shared" si="3"/>
        <v>0</v>
      </c>
      <c r="BG19" s="1">
        <f t="shared" si="4"/>
        <v>11</v>
      </c>
      <c r="BH19" s="1">
        <f t="shared" si="5"/>
        <v>8</v>
      </c>
      <c r="BI19" s="1">
        <f t="shared" si="6"/>
        <v>0</v>
      </c>
      <c r="BJ19" s="1">
        <f t="shared" si="7"/>
        <v>0</v>
      </c>
      <c r="BK19" s="1">
        <f t="shared" si="8"/>
        <v>0</v>
      </c>
      <c r="BL19" s="1">
        <f t="shared" si="9"/>
        <v>4</v>
      </c>
      <c r="BM19" s="1">
        <f t="shared" si="10"/>
        <v>0</v>
      </c>
      <c r="BN19" s="1">
        <f t="shared" si="11"/>
        <v>3</v>
      </c>
      <c r="BO19" s="1">
        <f t="shared" si="12"/>
        <v>0</v>
      </c>
      <c r="BP19" s="1">
        <f t="shared" si="13"/>
        <v>4</v>
      </c>
      <c r="BQ19" s="1">
        <f t="shared" si="14"/>
        <v>0</v>
      </c>
      <c r="BR19" s="1">
        <f t="shared" si="15"/>
        <v>0</v>
      </c>
      <c r="BS19" s="1">
        <f t="shared" si="16"/>
        <v>0</v>
      </c>
      <c r="BT19" s="1">
        <f t="shared" si="17"/>
        <v>0</v>
      </c>
      <c r="BU19" s="1">
        <f t="shared" si="18"/>
        <v>0</v>
      </c>
      <c r="BV19" s="1">
        <f t="shared" si="19"/>
        <v>2</v>
      </c>
      <c r="BW19" s="1">
        <f t="shared" si="20"/>
        <v>2</v>
      </c>
      <c r="BX19" s="1">
        <f t="shared" si="21"/>
        <v>0</v>
      </c>
      <c r="BY19" s="1">
        <f t="shared" si="22"/>
        <v>2</v>
      </c>
      <c r="BZ19" s="1">
        <f t="shared" si="23"/>
        <v>0</v>
      </c>
    </row>
    <row r="20" spans="1:78" ht="15.75">
      <c r="A20" s="88"/>
      <c r="B20" s="46" t="s">
        <v>113</v>
      </c>
      <c r="C20" s="56" t="s">
        <v>58</v>
      </c>
      <c r="D20" s="56" t="s">
        <v>58</v>
      </c>
      <c r="E20" s="83" t="s">
        <v>59</v>
      </c>
      <c r="F20" s="52" t="s">
        <v>79</v>
      </c>
      <c r="G20" s="52" t="s">
        <v>79</v>
      </c>
      <c r="H20" s="52" t="s">
        <v>79</v>
      </c>
      <c r="I20" s="52" t="s">
        <v>79</v>
      </c>
      <c r="J20" s="32" t="s">
        <v>58</v>
      </c>
      <c r="K20" s="45" t="s">
        <v>64</v>
      </c>
      <c r="L20" s="45" t="s">
        <v>64</v>
      </c>
      <c r="M20" s="83" t="s">
        <v>59</v>
      </c>
      <c r="N20" s="45" t="s">
        <v>64</v>
      </c>
      <c r="O20" s="32" t="s">
        <v>58</v>
      </c>
      <c r="P20" s="47" t="s">
        <v>74</v>
      </c>
      <c r="Q20" s="47" t="s">
        <v>74</v>
      </c>
      <c r="R20" s="47" t="s">
        <v>74</v>
      </c>
      <c r="S20" s="47" t="s">
        <v>74</v>
      </c>
      <c r="T20" s="32" t="s">
        <v>58</v>
      </c>
      <c r="U20" s="76" t="s">
        <v>65</v>
      </c>
      <c r="V20" s="83" t="s">
        <v>59</v>
      </c>
      <c r="W20" s="76" t="s">
        <v>65</v>
      </c>
      <c r="X20" s="76" t="s">
        <v>65</v>
      </c>
      <c r="Y20" s="32" t="s">
        <v>58</v>
      </c>
      <c r="Z20" s="49" t="s">
        <v>76</v>
      </c>
      <c r="AA20" s="49" t="s">
        <v>76</v>
      </c>
      <c r="AB20" s="49" t="s">
        <v>76</v>
      </c>
      <c r="AC20" s="49" t="s">
        <v>76</v>
      </c>
      <c r="AD20" s="32" t="s">
        <v>58</v>
      </c>
      <c r="AE20" s="31" t="s">
        <v>61</v>
      </c>
      <c r="AF20" s="31" t="s">
        <v>61</v>
      </c>
      <c r="AG20" s="31" t="s">
        <v>61</v>
      </c>
      <c r="AH20" s="31" t="s">
        <v>61</v>
      </c>
      <c r="AI20" s="32" t="s">
        <v>58</v>
      </c>
      <c r="AJ20" s="72" t="s">
        <v>114</v>
      </c>
      <c r="AK20" s="83" t="s">
        <v>59</v>
      </c>
      <c r="AL20" s="83" t="s">
        <v>59</v>
      </c>
      <c r="AM20" s="83" t="s">
        <v>59</v>
      </c>
      <c r="AN20" s="83" t="s">
        <v>59</v>
      </c>
      <c r="AO20" s="83" t="s">
        <v>59</v>
      </c>
      <c r="AP20" s="83" t="s">
        <v>59</v>
      </c>
      <c r="AQ20" s="51" t="s">
        <v>81</v>
      </c>
      <c r="AR20" s="51" t="s">
        <v>81</v>
      </c>
      <c r="AS20" s="83" t="s">
        <v>59</v>
      </c>
      <c r="AT20" s="83" t="s">
        <v>59</v>
      </c>
      <c r="AU20" s="83" t="s">
        <v>59</v>
      </c>
      <c r="AV20" s="84"/>
      <c r="AW20" s="85"/>
      <c r="AX20" s="40" t="s">
        <v>58</v>
      </c>
      <c r="AY20" s="39" t="s">
        <v>62</v>
      </c>
      <c r="AZ20" s="39" t="s">
        <v>62</v>
      </c>
      <c r="BA20" s="39" t="s">
        <v>62</v>
      </c>
      <c r="BB20" s="39" t="s">
        <v>62</v>
      </c>
      <c r="BC20" s="1">
        <f t="shared" si="1"/>
        <v>9</v>
      </c>
      <c r="BD20" s="1">
        <f t="shared" si="2"/>
        <v>12</v>
      </c>
      <c r="BE20" s="1">
        <f t="shared" si="0"/>
        <v>0</v>
      </c>
      <c r="BF20" s="1">
        <f t="shared" si="3"/>
        <v>4</v>
      </c>
      <c r="BG20" s="1">
        <f t="shared" si="4"/>
        <v>4</v>
      </c>
      <c r="BH20" s="1">
        <f t="shared" si="5"/>
        <v>0</v>
      </c>
      <c r="BI20" s="1">
        <f t="shared" si="6"/>
        <v>3</v>
      </c>
      <c r="BJ20" s="1">
        <f t="shared" si="7"/>
        <v>3</v>
      </c>
      <c r="BK20" s="1">
        <f t="shared" si="8"/>
        <v>0</v>
      </c>
      <c r="BL20" s="1">
        <f t="shared" si="9"/>
        <v>0</v>
      </c>
      <c r="BM20" s="1">
        <f t="shared" si="10"/>
        <v>0</v>
      </c>
      <c r="BN20" s="1">
        <f t="shared" si="11"/>
        <v>0</v>
      </c>
      <c r="BO20" s="1">
        <f t="shared" si="12"/>
        <v>0</v>
      </c>
      <c r="BP20" s="1">
        <f t="shared" si="13"/>
        <v>0</v>
      </c>
      <c r="BQ20" s="1">
        <f t="shared" si="14"/>
        <v>0</v>
      </c>
      <c r="BR20" s="1">
        <f t="shared" si="15"/>
        <v>0</v>
      </c>
      <c r="BS20" s="1">
        <f t="shared" si="16"/>
        <v>4</v>
      </c>
      <c r="BT20" s="1">
        <f t="shared" si="17"/>
        <v>0</v>
      </c>
      <c r="BU20" s="1">
        <f t="shared" si="18"/>
        <v>4</v>
      </c>
      <c r="BV20" s="1">
        <f t="shared" si="19"/>
        <v>0</v>
      </c>
      <c r="BW20" s="1">
        <f t="shared" si="20"/>
        <v>0</v>
      </c>
      <c r="BX20" s="1">
        <f t="shared" si="21"/>
        <v>4</v>
      </c>
      <c r="BY20" s="1">
        <f t="shared" si="22"/>
        <v>0</v>
      </c>
      <c r="BZ20" s="1">
        <f t="shared" si="23"/>
        <v>2</v>
      </c>
    </row>
    <row r="21" spans="1:78" ht="16.5" thickBot="1">
      <c r="A21" s="89"/>
      <c r="B21" s="55" t="s">
        <v>115</v>
      </c>
      <c r="C21" s="56" t="s">
        <v>58</v>
      </c>
      <c r="D21" s="56" t="s">
        <v>58</v>
      </c>
      <c r="E21" s="32" t="s">
        <v>58</v>
      </c>
      <c r="F21" s="51" t="s">
        <v>81</v>
      </c>
      <c r="G21" s="51" t="s">
        <v>81</v>
      </c>
      <c r="H21" s="51" t="s">
        <v>81</v>
      </c>
      <c r="I21" s="51" t="s">
        <v>81</v>
      </c>
      <c r="J21" s="32" t="s">
        <v>58</v>
      </c>
      <c r="K21" s="39" t="s">
        <v>62</v>
      </c>
      <c r="L21" s="39" t="s">
        <v>62</v>
      </c>
      <c r="M21" s="39" t="s">
        <v>62</v>
      </c>
      <c r="N21" s="39" t="s">
        <v>62</v>
      </c>
      <c r="O21" s="32" t="s">
        <v>58</v>
      </c>
      <c r="P21" s="33" t="s">
        <v>67</v>
      </c>
      <c r="Q21" s="33" t="s">
        <v>67</v>
      </c>
      <c r="R21" s="33" t="s">
        <v>67</v>
      </c>
      <c r="S21" s="33" t="s">
        <v>67</v>
      </c>
      <c r="T21" s="83" t="s">
        <v>59</v>
      </c>
      <c r="U21" s="76" t="s">
        <v>65</v>
      </c>
      <c r="V21" s="76" t="s">
        <v>65</v>
      </c>
      <c r="W21" s="76" t="s">
        <v>65</v>
      </c>
      <c r="X21" s="76" t="s">
        <v>65</v>
      </c>
      <c r="Y21" s="32" t="s">
        <v>58</v>
      </c>
      <c r="Z21" s="52" t="s">
        <v>79</v>
      </c>
      <c r="AA21" s="52" t="s">
        <v>79</v>
      </c>
      <c r="AB21" s="83" t="s">
        <v>59</v>
      </c>
      <c r="AC21" s="52" t="s">
        <v>79</v>
      </c>
      <c r="AD21" s="32" t="s">
        <v>58</v>
      </c>
      <c r="AE21" s="39" t="s">
        <v>62</v>
      </c>
      <c r="AF21" s="39" t="s">
        <v>62</v>
      </c>
      <c r="AG21" s="39" t="s">
        <v>62</v>
      </c>
      <c r="AH21" s="39" t="s">
        <v>62</v>
      </c>
      <c r="AI21" s="32" t="s">
        <v>58</v>
      </c>
      <c r="AJ21" s="47" t="s">
        <v>74</v>
      </c>
      <c r="AK21" s="47" t="s">
        <v>74</v>
      </c>
      <c r="AL21" s="47" t="s">
        <v>74</v>
      </c>
      <c r="AM21" s="47" t="s">
        <v>74</v>
      </c>
      <c r="AN21" s="40" t="s">
        <v>58</v>
      </c>
      <c r="AO21" s="77" t="s">
        <v>66</v>
      </c>
      <c r="AP21" s="77" t="s">
        <v>66</v>
      </c>
      <c r="AQ21" s="77" t="s">
        <v>66</v>
      </c>
      <c r="AR21" s="77" t="s">
        <v>66</v>
      </c>
      <c r="AS21" s="40" t="s">
        <v>58</v>
      </c>
      <c r="AT21" s="49" t="s">
        <v>76</v>
      </c>
      <c r="AU21" s="49" t="s">
        <v>76</v>
      </c>
      <c r="AV21" s="49" t="s">
        <v>76</v>
      </c>
      <c r="AW21" s="49" t="s">
        <v>76</v>
      </c>
      <c r="AX21" s="40" t="s">
        <v>58</v>
      </c>
      <c r="AY21" s="31" t="s">
        <v>61</v>
      </c>
      <c r="AZ21" s="31" t="s">
        <v>61</v>
      </c>
      <c r="BA21" s="31" t="s">
        <v>61</v>
      </c>
      <c r="BB21" s="31" t="s">
        <v>61</v>
      </c>
      <c r="BC21" s="1">
        <f t="shared" si="1"/>
        <v>11</v>
      </c>
      <c r="BD21" s="1">
        <f t="shared" si="2"/>
        <v>2</v>
      </c>
      <c r="BE21" s="1">
        <f t="shared" si="0"/>
        <v>0</v>
      </c>
      <c r="BF21" s="1">
        <f t="shared" si="3"/>
        <v>4</v>
      </c>
      <c r="BG21" s="1">
        <f t="shared" si="4"/>
        <v>8</v>
      </c>
      <c r="BH21" s="1">
        <f t="shared" si="5"/>
        <v>0</v>
      </c>
      <c r="BI21" s="1">
        <f t="shared" si="6"/>
        <v>0</v>
      </c>
      <c r="BJ21" s="1">
        <f t="shared" si="7"/>
        <v>4</v>
      </c>
      <c r="BK21" s="1">
        <f t="shared" si="8"/>
        <v>4</v>
      </c>
      <c r="BL21" s="1">
        <f t="shared" si="9"/>
        <v>4</v>
      </c>
      <c r="BM21" s="1">
        <f t="shared" si="10"/>
        <v>0</v>
      </c>
      <c r="BN21" s="1">
        <f t="shared" si="11"/>
        <v>0</v>
      </c>
      <c r="BO21" s="1">
        <f t="shared" si="12"/>
        <v>0</v>
      </c>
      <c r="BP21" s="1">
        <f t="shared" si="13"/>
        <v>0</v>
      </c>
      <c r="BQ21" s="1">
        <f t="shared" si="14"/>
        <v>0</v>
      </c>
      <c r="BR21" s="1">
        <f t="shared" si="15"/>
        <v>0</v>
      </c>
      <c r="BS21" s="1">
        <f t="shared" si="16"/>
        <v>4</v>
      </c>
      <c r="BT21" s="1">
        <f t="shared" si="17"/>
        <v>0</v>
      </c>
      <c r="BU21" s="1">
        <f t="shared" si="18"/>
        <v>4</v>
      </c>
      <c r="BV21" s="1">
        <f t="shared" si="19"/>
        <v>0</v>
      </c>
      <c r="BW21" s="1">
        <f t="shared" si="20"/>
        <v>0</v>
      </c>
      <c r="BX21" s="1">
        <f t="shared" si="21"/>
        <v>3</v>
      </c>
      <c r="BY21" s="1">
        <f t="shared" si="22"/>
        <v>0</v>
      </c>
      <c r="BZ21" s="1">
        <f t="shared" si="23"/>
        <v>4</v>
      </c>
    </row>
    <row r="22" spans="1:78" ht="15.75">
      <c r="A22" s="87" t="s">
        <v>116</v>
      </c>
      <c r="B22" s="53" t="s">
        <v>117</v>
      </c>
      <c r="C22" s="45" t="s">
        <v>64</v>
      </c>
      <c r="D22" s="56" t="s">
        <v>58</v>
      </c>
      <c r="E22" s="34" t="s">
        <v>86</v>
      </c>
      <c r="F22" s="34" t="s">
        <v>86</v>
      </c>
      <c r="G22" s="34" t="s">
        <v>86</v>
      </c>
      <c r="H22" s="34" t="s">
        <v>86</v>
      </c>
      <c r="I22" s="56" t="s">
        <v>58</v>
      </c>
      <c r="J22" s="35" t="s">
        <v>77</v>
      </c>
      <c r="K22" s="35" t="s">
        <v>77</v>
      </c>
      <c r="L22" s="36" t="s">
        <v>78</v>
      </c>
      <c r="M22" s="36" t="s">
        <v>78</v>
      </c>
      <c r="N22" s="56" t="s">
        <v>58</v>
      </c>
      <c r="O22" s="31" t="s">
        <v>61</v>
      </c>
      <c r="P22" s="31" t="s">
        <v>61</v>
      </c>
      <c r="Q22" s="31" t="s">
        <v>61</v>
      </c>
      <c r="R22" s="31" t="s">
        <v>61</v>
      </c>
      <c r="S22" s="56" t="s">
        <v>58</v>
      </c>
      <c r="T22" s="33" t="s">
        <v>67</v>
      </c>
      <c r="U22" s="33" t="s">
        <v>67</v>
      </c>
      <c r="V22" s="33" t="s">
        <v>67</v>
      </c>
      <c r="W22" s="33" t="s">
        <v>67</v>
      </c>
      <c r="X22" s="56" t="s">
        <v>58</v>
      </c>
      <c r="Y22" s="77" t="s">
        <v>66</v>
      </c>
      <c r="Z22" s="77" t="s">
        <v>66</v>
      </c>
      <c r="AA22" s="77" t="s">
        <v>66</v>
      </c>
      <c r="AB22" s="77" t="s">
        <v>66</v>
      </c>
      <c r="AC22" s="56" t="s">
        <v>58</v>
      </c>
      <c r="AD22" s="41" t="s">
        <v>71</v>
      </c>
      <c r="AE22" s="41" t="s">
        <v>71</v>
      </c>
      <c r="AF22" s="41" t="s">
        <v>71</v>
      </c>
      <c r="AG22" s="41" t="s">
        <v>71</v>
      </c>
      <c r="AH22" s="56" t="s">
        <v>58</v>
      </c>
      <c r="AI22" s="39" t="s">
        <v>62</v>
      </c>
      <c r="AJ22" s="39" t="s">
        <v>62</v>
      </c>
      <c r="AK22" s="39" t="s">
        <v>62</v>
      </c>
      <c r="AL22" s="39" t="s">
        <v>62</v>
      </c>
      <c r="AM22" s="56" t="s">
        <v>58</v>
      </c>
      <c r="AN22" s="37" t="s">
        <v>69</v>
      </c>
      <c r="AO22" s="37" t="s">
        <v>69</v>
      </c>
      <c r="AP22" s="37" t="s">
        <v>69</v>
      </c>
      <c r="AQ22" s="37" t="s">
        <v>69</v>
      </c>
      <c r="AR22" s="83" t="s">
        <v>59</v>
      </c>
      <c r="AS22" s="42" t="s">
        <v>80</v>
      </c>
      <c r="AT22" s="80" t="s">
        <v>118</v>
      </c>
      <c r="AU22" s="80" t="s">
        <v>118</v>
      </c>
      <c r="AV22" s="80" t="s">
        <v>118</v>
      </c>
      <c r="AW22" s="56" t="s">
        <v>58</v>
      </c>
      <c r="AX22" s="45" t="s">
        <v>64</v>
      </c>
      <c r="AY22" s="45" t="s">
        <v>64</v>
      </c>
      <c r="AZ22" s="45" t="s">
        <v>64</v>
      </c>
      <c r="BA22" s="45" t="s">
        <v>64</v>
      </c>
      <c r="BB22" s="56" t="s">
        <v>58</v>
      </c>
      <c r="BC22" s="1">
        <f t="shared" si="1"/>
        <v>10</v>
      </c>
      <c r="BD22" s="1">
        <f t="shared" si="2"/>
        <v>1</v>
      </c>
      <c r="BE22" s="1">
        <f t="shared" si="0"/>
        <v>0</v>
      </c>
      <c r="BF22" s="1">
        <f t="shared" si="3"/>
        <v>4</v>
      </c>
      <c r="BG22" s="1">
        <f t="shared" si="4"/>
        <v>4</v>
      </c>
      <c r="BH22" s="1">
        <f t="shared" si="5"/>
        <v>4</v>
      </c>
      <c r="BI22" s="1">
        <f t="shared" si="6"/>
        <v>5</v>
      </c>
      <c r="BJ22" s="1">
        <f t="shared" si="7"/>
        <v>0</v>
      </c>
      <c r="BK22" s="1">
        <f t="shared" si="8"/>
        <v>4</v>
      </c>
      <c r="BL22" s="1">
        <f t="shared" si="9"/>
        <v>4</v>
      </c>
      <c r="BM22" s="1">
        <f t="shared" si="10"/>
        <v>0</v>
      </c>
      <c r="BN22" s="1">
        <f t="shared" si="11"/>
        <v>4</v>
      </c>
      <c r="BO22" s="1">
        <f t="shared" si="12"/>
        <v>0</v>
      </c>
      <c r="BP22" s="1">
        <f t="shared" si="13"/>
        <v>4</v>
      </c>
      <c r="BQ22" s="1">
        <f t="shared" si="14"/>
        <v>0</v>
      </c>
      <c r="BR22" s="1">
        <f t="shared" si="15"/>
        <v>0</v>
      </c>
      <c r="BS22" s="1">
        <f t="shared" si="16"/>
        <v>0</v>
      </c>
      <c r="BT22" s="1">
        <f t="shared" si="17"/>
        <v>0</v>
      </c>
      <c r="BU22" s="1">
        <f t="shared" si="18"/>
        <v>0</v>
      </c>
      <c r="BV22" s="1">
        <f t="shared" si="19"/>
        <v>2</v>
      </c>
      <c r="BW22" s="1">
        <f t="shared" si="20"/>
        <v>2</v>
      </c>
      <c r="BX22" s="1">
        <f t="shared" si="21"/>
        <v>0</v>
      </c>
      <c r="BY22" s="1">
        <f t="shared" si="22"/>
        <v>1</v>
      </c>
      <c r="BZ22" s="1">
        <f t="shared" si="23"/>
        <v>0</v>
      </c>
    </row>
    <row r="23" spans="1:78" ht="15.75">
      <c r="A23" s="88"/>
      <c r="B23" s="44" t="s">
        <v>119</v>
      </c>
      <c r="C23" s="45" t="s">
        <v>64</v>
      </c>
      <c r="D23" s="56" t="s">
        <v>58</v>
      </c>
      <c r="E23" s="34" t="s">
        <v>86</v>
      </c>
      <c r="F23" s="34" t="s">
        <v>86</v>
      </c>
      <c r="G23" s="34" t="s">
        <v>86</v>
      </c>
      <c r="H23" s="34" t="s">
        <v>86</v>
      </c>
      <c r="I23" s="56" t="s">
        <v>58</v>
      </c>
      <c r="J23" s="41" t="s">
        <v>71</v>
      </c>
      <c r="K23" s="41" t="s">
        <v>71</v>
      </c>
      <c r="L23" s="41" t="s">
        <v>71</v>
      </c>
      <c r="M23" s="41" t="s">
        <v>71</v>
      </c>
      <c r="N23" s="56" t="s">
        <v>58</v>
      </c>
      <c r="O23" s="39" t="s">
        <v>62</v>
      </c>
      <c r="P23" s="39" t="s">
        <v>62</v>
      </c>
      <c r="Q23" s="39" t="s">
        <v>62</v>
      </c>
      <c r="R23" s="39" t="s">
        <v>62</v>
      </c>
      <c r="S23" s="56" t="s">
        <v>58</v>
      </c>
      <c r="T23" s="37" t="s">
        <v>69</v>
      </c>
      <c r="U23" s="37" t="s">
        <v>69</v>
      </c>
      <c r="V23" s="37" t="s">
        <v>69</v>
      </c>
      <c r="W23" s="37" t="s">
        <v>69</v>
      </c>
      <c r="X23" s="56" t="s">
        <v>58</v>
      </c>
      <c r="Y23" s="34" t="s">
        <v>86</v>
      </c>
      <c r="Z23" s="34" t="s">
        <v>86</v>
      </c>
      <c r="AA23" s="34" t="s">
        <v>86</v>
      </c>
      <c r="AB23" s="34" t="s">
        <v>86</v>
      </c>
      <c r="AC23" s="56" t="s">
        <v>58</v>
      </c>
      <c r="AD23" s="36" t="s">
        <v>78</v>
      </c>
      <c r="AE23" s="36" t="s">
        <v>78</v>
      </c>
      <c r="AF23" s="42" t="s">
        <v>80</v>
      </c>
      <c r="AG23" s="42" t="s">
        <v>80</v>
      </c>
      <c r="AH23" s="83" t="s">
        <v>59</v>
      </c>
      <c r="AI23" s="31" t="s">
        <v>61</v>
      </c>
      <c r="AJ23" s="31" t="s">
        <v>61</v>
      </c>
      <c r="AK23" s="31" t="s">
        <v>61</v>
      </c>
      <c r="AL23" s="31" t="s">
        <v>61</v>
      </c>
      <c r="AM23" s="83" t="s">
        <v>59</v>
      </c>
      <c r="AN23" s="83" t="s">
        <v>59</v>
      </c>
      <c r="AO23" s="33" t="s">
        <v>67</v>
      </c>
      <c r="AP23" s="33" t="s">
        <v>67</v>
      </c>
      <c r="AQ23" s="33" t="s">
        <v>67</v>
      </c>
      <c r="AR23" s="56" t="s">
        <v>58</v>
      </c>
      <c r="AS23" s="35" t="s">
        <v>77</v>
      </c>
      <c r="AT23" s="35" t="s">
        <v>77</v>
      </c>
      <c r="AU23" s="73" t="s">
        <v>60</v>
      </c>
      <c r="AV23" s="73" t="s">
        <v>60</v>
      </c>
      <c r="AW23" s="56" t="s">
        <v>58</v>
      </c>
      <c r="AX23" s="45" t="s">
        <v>64</v>
      </c>
      <c r="AY23" s="45" t="s">
        <v>64</v>
      </c>
      <c r="AZ23" s="45" t="s">
        <v>64</v>
      </c>
      <c r="BA23" s="45" t="s">
        <v>64</v>
      </c>
      <c r="BB23" s="56" t="s">
        <v>58</v>
      </c>
      <c r="BC23" s="1">
        <f t="shared" si="1"/>
        <v>9</v>
      </c>
      <c r="BD23" s="1">
        <f t="shared" si="2"/>
        <v>3</v>
      </c>
      <c r="BE23" s="1">
        <f t="shared" si="0"/>
        <v>2</v>
      </c>
      <c r="BF23" s="1">
        <f t="shared" si="3"/>
        <v>4</v>
      </c>
      <c r="BG23" s="1">
        <f t="shared" si="4"/>
        <v>4</v>
      </c>
      <c r="BH23" s="1">
        <f t="shared" si="5"/>
        <v>8</v>
      </c>
      <c r="BI23" s="1">
        <f t="shared" si="6"/>
        <v>5</v>
      </c>
      <c r="BJ23" s="1">
        <f t="shared" si="7"/>
        <v>0</v>
      </c>
      <c r="BK23" s="1">
        <f t="shared" si="8"/>
        <v>0</v>
      </c>
      <c r="BL23" s="1">
        <f t="shared" si="9"/>
        <v>3</v>
      </c>
      <c r="BM23" s="1">
        <f t="shared" si="10"/>
        <v>0</v>
      </c>
      <c r="BN23" s="1">
        <f t="shared" si="11"/>
        <v>4</v>
      </c>
      <c r="BO23" s="1">
        <f t="shared" si="12"/>
        <v>0</v>
      </c>
      <c r="BP23" s="1">
        <f t="shared" si="13"/>
        <v>4</v>
      </c>
      <c r="BQ23" s="1">
        <f t="shared" si="14"/>
        <v>0</v>
      </c>
      <c r="BR23" s="1">
        <f t="shared" si="15"/>
        <v>0</v>
      </c>
      <c r="BS23" s="1">
        <f t="shared" si="16"/>
        <v>0</v>
      </c>
      <c r="BT23" s="1">
        <f t="shared" si="17"/>
        <v>0</v>
      </c>
      <c r="BU23" s="1">
        <f t="shared" si="18"/>
        <v>0</v>
      </c>
      <c r="BV23" s="1">
        <f t="shared" si="19"/>
        <v>2</v>
      </c>
      <c r="BW23" s="1">
        <f t="shared" si="20"/>
        <v>2</v>
      </c>
      <c r="BX23" s="1">
        <f t="shared" si="21"/>
        <v>0</v>
      </c>
      <c r="BY23" s="1">
        <f t="shared" si="22"/>
        <v>2</v>
      </c>
      <c r="BZ23" s="1">
        <f t="shared" si="23"/>
        <v>0</v>
      </c>
    </row>
    <row r="24" spans="1:78" ht="15.75">
      <c r="A24" s="88"/>
      <c r="B24" s="46" t="s">
        <v>120</v>
      </c>
      <c r="C24" s="45" t="s">
        <v>64</v>
      </c>
      <c r="D24" s="56" t="s">
        <v>58</v>
      </c>
      <c r="E24" s="34" t="s">
        <v>86</v>
      </c>
      <c r="F24" s="34" t="s">
        <v>86</v>
      </c>
      <c r="G24" s="34" t="s">
        <v>86</v>
      </c>
      <c r="H24" s="34" t="s">
        <v>86</v>
      </c>
      <c r="I24" s="56" t="s">
        <v>58</v>
      </c>
      <c r="J24" s="51" t="s">
        <v>81</v>
      </c>
      <c r="K24" s="51" t="s">
        <v>81</v>
      </c>
      <c r="L24" s="51" t="s">
        <v>81</v>
      </c>
      <c r="M24" s="83" t="s">
        <v>59</v>
      </c>
      <c r="N24" s="56" t="s">
        <v>58</v>
      </c>
      <c r="O24" s="31" t="s">
        <v>61</v>
      </c>
      <c r="P24" s="31" t="s">
        <v>61</v>
      </c>
      <c r="Q24" s="31" t="s">
        <v>61</v>
      </c>
      <c r="R24" s="31" t="s">
        <v>61</v>
      </c>
      <c r="S24" s="56" t="s">
        <v>58</v>
      </c>
      <c r="T24" s="47" t="s">
        <v>74</v>
      </c>
      <c r="U24" s="47" t="s">
        <v>74</v>
      </c>
      <c r="V24" s="47" t="s">
        <v>74</v>
      </c>
      <c r="W24" s="47" t="s">
        <v>74</v>
      </c>
      <c r="X24" s="56" t="s">
        <v>58</v>
      </c>
      <c r="Y24" s="77" t="s">
        <v>66</v>
      </c>
      <c r="Z24" s="77" t="s">
        <v>66</v>
      </c>
      <c r="AA24" s="77" t="s">
        <v>66</v>
      </c>
      <c r="AB24" s="77" t="s">
        <v>66</v>
      </c>
      <c r="AC24" s="83" t="s">
        <v>59</v>
      </c>
      <c r="AD24" s="75" t="s">
        <v>91</v>
      </c>
      <c r="AE24" s="75" t="s">
        <v>91</v>
      </c>
      <c r="AF24" s="75" t="s">
        <v>89</v>
      </c>
      <c r="AG24" s="75" t="s">
        <v>89</v>
      </c>
      <c r="AH24" s="56" t="s">
        <v>58</v>
      </c>
      <c r="AI24" s="31" t="s">
        <v>61</v>
      </c>
      <c r="AJ24" s="31" t="s">
        <v>61</v>
      </c>
      <c r="AK24" s="31" t="s">
        <v>61</v>
      </c>
      <c r="AL24" s="31" t="s">
        <v>61</v>
      </c>
      <c r="AM24" s="56" t="s">
        <v>58</v>
      </c>
      <c r="AN24" s="83" t="s">
        <v>59</v>
      </c>
      <c r="AO24" s="33" t="s">
        <v>67</v>
      </c>
      <c r="AP24" s="33" t="s">
        <v>67</v>
      </c>
      <c r="AQ24" s="33" t="s">
        <v>67</v>
      </c>
      <c r="AR24" s="56" t="s">
        <v>58</v>
      </c>
      <c r="AS24" s="52" t="s">
        <v>79</v>
      </c>
      <c r="AT24" s="52" t="s">
        <v>79</v>
      </c>
      <c r="AU24" s="52" t="s">
        <v>79</v>
      </c>
      <c r="AV24" s="52" t="s">
        <v>79</v>
      </c>
      <c r="AW24" s="56" t="s">
        <v>58</v>
      </c>
      <c r="AX24" s="45" t="s">
        <v>64</v>
      </c>
      <c r="AY24" s="45" t="s">
        <v>64</v>
      </c>
      <c r="AZ24" s="45" t="s">
        <v>64</v>
      </c>
      <c r="BA24" s="45" t="s">
        <v>64</v>
      </c>
      <c r="BB24" s="56" t="s">
        <v>58</v>
      </c>
      <c r="BC24" s="1">
        <f t="shared" si="1"/>
        <v>10</v>
      </c>
      <c r="BD24" s="1">
        <f t="shared" si="2"/>
        <v>3</v>
      </c>
      <c r="BE24" s="1">
        <f t="shared" si="0"/>
        <v>0</v>
      </c>
      <c r="BF24" s="1">
        <f t="shared" si="3"/>
        <v>8</v>
      </c>
      <c r="BG24" s="1">
        <f t="shared" si="4"/>
        <v>0</v>
      </c>
      <c r="BH24" s="1">
        <f t="shared" si="5"/>
        <v>4</v>
      </c>
      <c r="BI24" s="1">
        <f t="shared" si="6"/>
        <v>5</v>
      </c>
      <c r="BJ24" s="1">
        <f t="shared" si="7"/>
        <v>0</v>
      </c>
      <c r="BK24" s="1">
        <f t="shared" si="8"/>
        <v>4</v>
      </c>
      <c r="BL24" s="1">
        <f t="shared" si="9"/>
        <v>3</v>
      </c>
      <c r="BM24" s="1">
        <f t="shared" si="10"/>
        <v>0</v>
      </c>
      <c r="BN24" s="1">
        <f t="shared" si="11"/>
        <v>0</v>
      </c>
      <c r="BO24" s="1">
        <f t="shared" si="12"/>
        <v>0</v>
      </c>
      <c r="BP24" s="1">
        <f t="shared" si="13"/>
        <v>0</v>
      </c>
      <c r="BQ24" s="1">
        <f t="shared" si="14"/>
        <v>0</v>
      </c>
      <c r="BR24" s="1">
        <f t="shared" si="15"/>
        <v>0</v>
      </c>
      <c r="BS24" s="1">
        <f t="shared" si="16"/>
        <v>4</v>
      </c>
      <c r="BT24" s="1">
        <f t="shared" si="17"/>
        <v>0</v>
      </c>
      <c r="BU24" s="1">
        <f t="shared" si="18"/>
        <v>0</v>
      </c>
      <c r="BV24" s="1">
        <f t="shared" si="19"/>
        <v>0</v>
      </c>
      <c r="BW24" s="1">
        <f t="shared" si="20"/>
        <v>0</v>
      </c>
      <c r="BX24" s="1">
        <f t="shared" si="21"/>
        <v>4</v>
      </c>
      <c r="BY24" s="1">
        <f t="shared" si="22"/>
        <v>0</v>
      </c>
      <c r="BZ24" s="1">
        <f t="shared" si="23"/>
        <v>3</v>
      </c>
    </row>
    <row r="25" spans="1:78" ht="16.5" thickBot="1">
      <c r="A25" s="88"/>
      <c r="B25" s="57" t="s">
        <v>121</v>
      </c>
      <c r="C25" s="71" t="s">
        <v>64</v>
      </c>
      <c r="D25" s="56" t="s">
        <v>58</v>
      </c>
      <c r="E25" s="34" t="s">
        <v>86</v>
      </c>
      <c r="F25" s="34" t="s">
        <v>86</v>
      </c>
      <c r="G25" s="34" t="s">
        <v>86</v>
      </c>
      <c r="H25" s="34" t="s">
        <v>86</v>
      </c>
      <c r="I25" s="56" t="s">
        <v>58</v>
      </c>
      <c r="J25" s="49" t="s">
        <v>76</v>
      </c>
      <c r="K25" s="49" t="s">
        <v>76</v>
      </c>
      <c r="L25" s="49" t="s">
        <v>76</v>
      </c>
      <c r="M25" s="49" t="s">
        <v>76</v>
      </c>
      <c r="N25" s="56" t="s">
        <v>58</v>
      </c>
      <c r="O25" s="39" t="s">
        <v>62</v>
      </c>
      <c r="P25" s="39" t="s">
        <v>62</v>
      </c>
      <c r="Q25" s="39" t="s">
        <v>62</v>
      </c>
      <c r="R25" s="39" t="s">
        <v>62</v>
      </c>
      <c r="S25" s="56" t="s">
        <v>58</v>
      </c>
      <c r="T25" s="33" t="s">
        <v>67</v>
      </c>
      <c r="U25" s="33" t="s">
        <v>67</v>
      </c>
      <c r="V25" s="33" t="s">
        <v>67</v>
      </c>
      <c r="W25" s="33" t="s">
        <v>67</v>
      </c>
      <c r="X25" s="56" t="s">
        <v>58</v>
      </c>
      <c r="Y25" s="34" t="s">
        <v>86</v>
      </c>
      <c r="Z25" s="34" t="s">
        <v>86</v>
      </c>
      <c r="AA25" s="34" t="s">
        <v>86</v>
      </c>
      <c r="AB25" s="83" t="s">
        <v>59</v>
      </c>
      <c r="AC25" s="83" t="s">
        <v>59</v>
      </c>
      <c r="AD25" s="52" t="s">
        <v>79</v>
      </c>
      <c r="AE25" s="52" t="s">
        <v>79</v>
      </c>
      <c r="AF25" s="52" t="s">
        <v>79</v>
      </c>
      <c r="AG25" s="52" t="s">
        <v>79</v>
      </c>
      <c r="AH25" s="56" t="s">
        <v>58</v>
      </c>
      <c r="AI25" s="39" t="s">
        <v>62</v>
      </c>
      <c r="AJ25" s="39" t="s">
        <v>62</v>
      </c>
      <c r="AK25" s="39" t="s">
        <v>62</v>
      </c>
      <c r="AL25" s="39" t="s">
        <v>62</v>
      </c>
      <c r="AM25" s="56" t="s">
        <v>58</v>
      </c>
      <c r="AN25" s="47" t="s">
        <v>74</v>
      </c>
      <c r="AO25" s="47" t="s">
        <v>74</v>
      </c>
      <c r="AP25" s="47" t="s">
        <v>74</v>
      </c>
      <c r="AQ25" s="47" t="s">
        <v>74</v>
      </c>
      <c r="AR25" s="56" t="s">
        <v>58</v>
      </c>
      <c r="AS25" s="51" t="s">
        <v>81</v>
      </c>
      <c r="AT25" s="51" t="s">
        <v>81</v>
      </c>
      <c r="AU25" s="51" t="s">
        <v>81</v>
      </c>
      <c r="AV25" s="83" t="s">
        <v>59</v>
      </c>
      <c r="AW25" s="56" t="s">
        <v>58</v>
      </c>
      <c r="AX25" s="77" t="s">
        <v>122</v>
      </c>
      <c r="AY25" s="75" t="s">
        <v>89</v>
      </c>
      <c r="AZ25" s="77" t="s">
        <v>122</v>
      </c>
      <c r="BA25" s="83" t="s">
        <v>59</v>
      </c>
      <c r="BB25" s="56" t="s">
        <v>58</v>
      </c>
      <c r="BC25" s="1">
        <f t="shared" si="1"/>
        <v>10</v>
      </c>
      <c r="BD25" s="1">
        <f t="shared" si="2"/>
        <v>4</v>
      </c>
      <c r="BE25" s="1">
        <f t="shared" si="0"/>
        <v>0</v>
      </c>
      <c r="BF25" s="1">
        <f t="shared" si="3"/>
        <v>0</v>
      </c>
      <c r="BG25" s="1">
        <f t="shared" si="4"/>
        <v>8</v>
      </c>
      <c r="BH25" s="1">
        <f t="shared" si="5"/>
        <v>7</v>
      </c>
      <c r="BI25" s="1">
        <f t="shared" si="6"/>
        <v>1</v>
      </c>
      <c r="BJ25" s="1">
        <f t="shared" si="7"/>
        <v>0</v>
      </c>
      <c r="BK25" s="1">
        <f t="shared" si="8"/>
        <v>0</v>
      </c>
      <c r="BL25" s="1">
        <f t="shared" si="9"/>
        <v>4</v>
      </c>
      <c r="BM25" s="1">
        <f t="shared" si="10"/>
        <v>0</v>
      </c>
      <c r="BN25" s="1">
        <f t="shared" si="11"/>
        <v>0</v>
      </c>
      <c r="BO25" s="1">
        <f t="shared" si="12"/>
        <v>0</v>
      </c>
      <c r="BP25" s="1">
        <f t="shared" si="13"/>
        <v>0</v>
      </c>
      <c r="BQ25" s="1">
        <f t="shared" si="14"/>
        <v>0</v>
      </c>
      <c r="BR25" s="1">
        <f t="shared" si="15"/>
        <v>0</v>
      </c>
      <c r="BS25" s="1">
        <f t="shared" si="16"/>
        <v>4</v>
      </c>
      <c r="BT25" s="1">
        <f t="shared" si="17"/>
        <v>0</v>
      </c>
      <c r="BU25" s="1">
        <f t="shared" si="18"/>
        <v>4</v>
      </c>
      <c r="BV25" s="1">
        <f t="shared" si="19"/>
        <v>0</v>
      </c>
      <c r="BW25" s="1">
        <f t="shared" si="20"/>
        <v>0</v>
      </c>
      <c r="BX25" s="1">
        <f t="shared" si="21"/>
        <v>4</v>
      </c>
      <c r="BY25" s="1">
        <f t="shared" si="22"/>
        <v>0</v>
      </c>
      <c r="BZ25" s="1">
        <f t="shared" si="23"/>
        <v>3</v>
      </c>
    </row>
    <row r="26" spans="1:78" ht="15.75">
      <c r="A26" s="87" t="s">
        <v>123</v>
      </c>
      <c r="B26" s="58" t="s">
        <v>124</v>
      </c>
      <c r="C26" s="56" t="s">
        <v>58</v>
      </c>
      <c r="D26" s="47" t="s">
        <v>74</v>
      </c>
      <c r="E26" s="47" t="s">
        <v>74</v>
      </c>
      <c r="F26" s="47" t="s">
        <v>74</v>
      </c>
      <c r="G26" s="47" t="s">
        <v>74</v>
      </c>
      <c r="H26" s="56" t="s">
        <v>58</v>
      </c>
      <c r="I26" s="34" t="s">
        <v>86</v>
      </c>
      <c r="J26" s="34" t="s">
        <v>86</v>
      </c>
      <c r="K26" s="34" t="s">
        <v>86</v>
      </c>
      <c r="L26" s="34" t="s">
        <v>86</v>
      </c>
      <c r="M26" s="56" t="s">
        <v>58</v>
      </c>
      <c r="N26" s="49" t="s">
        <v>76</v>
      </c>
      <c r="O26" s="49" t="s">
        <v>76</v>
      </c>
      <c r="P26" s="49" t="s">
        <v>76</v>
      </c>
      <c r="Q26" s="49" t="s">
        <v>76</v>
      </c>
      <c r="R26" s="83" t="s">
        <v>59</v>
      </c>
      <c r="S26" s="83" t="s">
        <v>59</v>
      </c>
      <c r="T26" s="39" t="s">
        <v>62</v>
      </c>
      <c r="U26" s="39" t="s">
        <v>62</v>
      </c>
      <c r="V26" s="39" t="s">
        <v>62</v>
      </c>
      <c r="W26" s="56" t="s">
        <v>58</v>
      </c>
      <c r="X26" s="33" t="s">
        <v>67</v>
      </c>
      <c r="Y26" s="33" t="s">
        <v>67</v>
      </c>
      <c r="Z26" s="33" t="s">
        <v>67</v>
      </c>
      <c r="AA26" s="33" t="s">
        <v>67</v>
      </c>
      <c r="AB26" s="56" t="s">
        <v>58</v>
      </c>
      <c r="AC26" s="77" t="s">
        <v>66</v>
      </c>
      <c r="AD26" s="77" t="s">
        <v>66</v>
      </c>
      <c r="AE26" s="77" t="s">
        <v>66</v>
      </c>
      <c r="AF26" s="77" t="s">
        <v>66</v>
      </c>
      <c r="AG26" s="56" t="s">
        <v>58</v>
      </c>
      <c r="AH26" s="52" t="s">
        <v>79</v>
      </c>
      <c r="AI26" s="52" t="s">
        <v>79</v>
      </c>
      <c r="AJ26" s="52" t="s">
        <v>79</v>
      </c>
      <c r="AK26" s="52" t="s">
        <v>79</v>
      </c>
      <c r="AL26" s="56" t="s">
        <v>58</v>
      </c>
      <c r="AM26" s="31" t="s">
        <v>61</v>
      </c>
      <c r="AN26" s="31" t="s">
        <v>61</v>
      </c>
      <c r="AO26" s="31" t="s">
        <v>61</v>
      </c>
      <c r="AP26" s="31" t="s">
        <v>61</v>
      </c>
      <c r="AQ26" s="56" t="s">
        <v>58</v>
      </c>
      <c r="AR26" s="72" t="s">
        <v>114</v>
      </c>
      <c r="AS26" s="72" t="s">
        <v>114</v>
      </c>
      <c r="AT26" s="72" t="s">
        <v>114</v>
      </c>
      <c r="AU26" s="72" t="s">
        <v>114</v>
      </c>
      <c r="AV26" s="56" t="s">
        <v>58</v>
      </c>
      <c r="AW26" s="51" t="s">
        <v>81</v>
      </c>
      <c r="AX26" s="51" t="s">
        <v>81</v>
      </c>
      <c r="AY26" s="51" t="s">
        <v>81</v>
      </c>
      <c r="AZ26" s="51" t="s">
        <v>81</v>
      </c>
      <c r="BA26" s="56" t="s">
        <v>58</v>
      </c>
      <c r="BB26" s="56" t="s">
        <v>58</v>
      </c>
      <c r="BC26" s="1">
        <f t="shared" si="1"/>
        <v>11</v>
      </c>
      <c r="BD26" s="1">
        <f t="shared" si="2"/>
        <v>2</v>
      </c>
      <c r="BE26" s="1">
        <f t="shared" si="0"/>
        <v>0</v>
      </c>
      <c r="BF26" s="1">
        <f t="shared" si="3"/>
        <v>4</v>
      </c>
      <c r="BG26" s="1">
        <f t="shared" si="4"/>
        <v>3</v>
      </c>
      <c r="BH26" s="1">
        <f t="shared" si="5"/>
        <v>4</v>
      </c>
      <c r="BI26" s="1">
        <f t="shared" si="6"/>
        <v>0</v>
      </c>
      <c r="BJ26" s="1">
        <f t="shared" si="7"/>
        <v>0</v>
      </c>
      <c r="BK26" s="1">
        <f t="shared" si="8"/>
        <v>4</v>
      </c>
      <c r="BL26" s="1">
        <f t="shared" si="9"/>
        <v>4</v>
      </c>
      <c r="BM26" s="1">
        <f t="shared" si="10"/>
        <v>0</v>
      </c>
      <c r="BN26" s="1">
        <f t="shared" si="11"/>
        <v>0</v>
      </c>
      <c r="BO26" s="1">
        <f t="shared" si="12"/>
        <v>0</v>
      </c>
      <c r="BP26" s="1">
        <f t="shared" si="13"/>
        <v>0</v>
      </c>
      <c r="BQ26" s="1">
        <f t="shared" si="14"/>
        <v>0</v>
      </c>
      <c r="BR26" s="1">
        <f t="shared" si="15"/>
        <v>0</v>
      </c>
      <c r="BS26" s="1">
        <f t="shared" si="16"/>
        <v>4</v>
      </c>
      <c r="BT26" s="1">
        <f t="shared" si="17"/>
        <v>0</v>
      </c>
      <c r="BU26" s="1">
        <f t="shared" si="18"/>
        <v>4</v>
      </c>
      <c r="BV26" s="1">
        <f t="shared" si="19"/>
        <v>0</v>
      </c>
      <c r="BW26" s="1">
        <f t="shared" si="20"/>
        <v>0</v>
      </c>
      <c r="BX26" s="1">
        <f t="shared" si="21"/>
        <v>4</v>
      </c>
      <c r="BY26" s="1">
        <f t="shared" si="22"/>
        <v>0</v>
      </c>
      <c r="BZ26" s="1">
        <f t="shared" si="23"/>
        <v>4</v>
      </c>
    </row>
    <row r="27" spans="1:78" ht="15.75">
      <c r="A27" s="88"/>
      <c r="B27" s="59" t="s">
        <v>125</v>
      </c>
      <c r="C27" s="56" t="s">
        <v>58</v>
      </c>
      <c r="D27" s="76" t="s">
        <v>65</v>
      </c>
      <c r="E27" s="76" t="s">
        <v>65</v>
      </c>
      <c r="F27" s="76" t="s">
        <v>65</v>
      </c>
      <c r="G27" s="76" t="s">
        <v>65</v>
      </c>
      <c r="H27" s="83" t="s">
        <v>59</v>
      </c>
      <c r="I27" s="56" t="s">
        <v>58</v>
      </c>
      <c r="J27" s="56" t="s">
        <v>58</v>
      </c>
      <c r="K27" s="72" t="s">
        <v>114</v>
      </c>
      <c r="L27" s="72" t="s">
        <v>114</v>
      </c>
      <c r="M27" s="56" t="s">
        <v>58</v>
      </c>
      <c r="N27" s="36" t="s">
        <v>78</v>
      </c>
      <c r="O27" s="36" t="s">
        <v>78</v>
      </c>
      <c r="P27" s="42" t="s">
        <v>80</v>
      </c>
      <c r="Q27" s="42" t="s">
        <v>80</v>
      </c>
      <c r="R27" s="83" t="s">
        <v>59</v>
      </c>
      <c r="S27" s="39" t="s">
        <v>62</v>
      </c>
      <c r="T27" s="39" t="s">
        <v>62</v>
      </c>
      <c r="U27" s="39" t="s">
        <v>62</v>
      </c>
      <c r="V27" s="39" t="s">
        <v>62</v>
      </c>
      <c r="W27" s="56" t="s">
        <v>58</v>
      </c>
      <c r="X27" s="33" t="s">
        <v>67</v>
      </c>
      <c r="Y27" s="33" t="s">
        <v>67</v>
      </c>
      <c r="Z27" s="33" t="s">
        <v>67</v>
      </c>
      <c r="AA27" s="33" t="s">
        <v>67</v>
      </c>
      <c r="AB27" s="56" t="s">
        <v>58</v>
      </c>
      <c r="AC27" s="83" t="s">
        <v>59</v>
      </c>
      <c r="AD27" s="49" t="s">
        <v>76</v>
      </c>
      <c r="AE27" s="49" t="s">
        <v>76</v>
      </c>
      <c r="AF27" s="49" t="s">
        <v>76</v>
      </c>
      <c r="AG27" s="56" t="s">
        <v>58</v>
      </c>
      <c r="AH27" s="51" t="s">
        <v>81</v>
      </c>
      <c r="AI27" s="51" t="s">
        <v>81</v>
      </c>
      <c r="AJ27" s="51" t="s">
        <v>81</v>
      </c>
      <c r="AK27" s="51" t="s">
        <v>81</v>
      </c>
      <c r="AL27" s="56" t="s">
        <v>58</v>
      </c>
      <c r="AM27" s="31" t="s">
        <v>61</v>
      </c>
      <c r="AN27" s="31" t="s">
        <v>61</v>
      </c>
      <c r="AO27" s="31" t="s">
        <v>61</v>
      </c>
      <c r="AP27" s="31" t="s">
        <v>61</v>
      </c>
      <c r="AQ27" s="83" t="s">
        <v>59</v>
      </c>
      <c r="AR27" s="77" t="s">
        <v>66</v>
      </c>
      <c r="AS27" s="77" t="s">
        <v>66</v>
      </c>
      <c r="AT27" s="77" t="s">
        <v>66</v>
      </c>
      <c r="AU27" s="77" t="s">
        <v>66</v>
      </c>
      <c r="AV27" s="56" t="s">
        <v>58</v>
      </c>
      <c r="AW27" s="62" t="s">
        <v>70</v>
      </c>
      <c r="AX27" s="62" t="s">
        <v>70</v>
      </c>
      <c r="AY27" s="63" t="s">
        <v>73</v>
      </c>
      <c r="AZ27" s="63" t="s">
        <v>73</v>
      </c>
      <c r="BA27" s="56" t="s">
        <v>58</v>
      </c>
      <c r="BB27" s="56" t="s">
        <v>58</v>
      </c>
      <c r="BC27" s="1">
        <f t="shared" si="1"/>
        <v>11</v>
      </c>
      <c r="BD27" s="1">
        <f t="shared" si="2"/>
        <v>4</v>
      </c>
      <c r="BE27" s="1">
        <f t="shared" si="0"/>
        <v>0</v>
      </c>
      <c r="BF27" s="1">
        <f t="shared" si="3"/>
        <v>4</v>
      </c>
      <c r="BG27" s="1">
        <f t="shared" si="4"/>
        <v>4</v>
      </c>
      <c r="BH27" s="1">
        <f t="shared" si="5"/>
        <v>0</v>
      </c>
      <c r="BI27" s="1">
        <f t="shared" si="6"/>
        <v>0</v>
      </c>
      <c r="BJ27" s="1">
        <f t="shared" si="7"/>
        <v>4</v>
      </c>
      <c r="BK27" s="1">
        <f t="shared" si="8"/>
        <v>4</v>
      </c>
      <c r="BL27" s="1">
        <f t="shared" si="9"/>
        <v>4</v>
      </c>
      <c r="BM27" s="1">
        <f t="shared" si="10"/>
        <v>0</v>
      </c>
      <c r="BN27" s="1">
        <f t="shared" si="11"/>
        <v>0</v>
      </c>
      <c r="BO27" s="1">
        <f t="shared" si="12"/>
        <v>2</v>
      </c>
      <c r="BP27" s="1">
        <f t="shared" si="13"/>
        <v>0</v>
      </c>
      <c r="BQ27" s="1">
        <f t="shared" si="14"/>
        <v>0</v>
      </c>
      <c r="BR27" s="1">
        <f t="shared" si="15"/>
        <v>2</v>
      </c>
      <c r="BS27" s="1">
        <f t="shared" si="16"/>
        <v>0</v>
      </c>
      <c r="BT27" s="1">
        <f t="shared" si="17"/>
        <v>0</v>
      </c>
      <c r="BU27" s="1">
        <f t="shared" si="18"/>
        <v>3</v>
      </c>
      <c r="BV27" s="1">
        <f t="shared" si="19"/>
        <v>0</v>
      </c>
      <c r="BW27" s="1">
        <f t="shared" si="20"/>
        <v>2</v>
      </c>
      <c r="BX27" s="1">
        <f t="shared" si="21"/>
        <v>0</v>
      </c>
      <c r="BY27" s="1">
        <f t="shared" si="22"/>
        <v>2</v>
      </c>
      <c r="BZ27" s="1">
        <f t="shared" si="23"/>
        <v>4</v>
      </c>
    </row>
    <row r="28" spans="1:78" ht="16.5" thickBot="1">
      <c r="A28" s="89"/>
      <c r="B28" s="64" t="s">
        <v>126</v>
      </c>
      <c r="C28" s="56" t="s">
        <v>58</v>
      </c>
      <c r="D28" s="76" t="s">
        <v>65</v>
      </c>
      <c r="E28" s="76" t="s">
        <v>65</v>
      </c>
      <c r="F28" s="76" t="s">
        <v>65</v>
      </c>
      <c r="G28" s="76" t="s">
        <v>65</v>
      </c>
      <c r="H28" s="56" t="s">
        <v>58</v>
      </c>
      <c r="I28" s="76" t="s">
        <v>65</v>
      </c>
      <c r="J28" s="76" t="s">
        <v>65</v>
      </c>
      <c r="K28" s="76" t="s">
        <v>127</v>
      </c>
      <c r="L28" s="76" t="s">
        <v>127</v>
      </c>
      <c r="M28" s="56" t="s">
        <v>58</v>
      </c>
      <c r="N28" s="72" t="s">
        <v>114</v>
      </c>
      <c r="O28" s="72" t="s">
        <v>114</v>
      </c>
      <c r="P28" s="72" t="s">
        <v>114</v>
      </c>
      <c r="Q28" s="72" t="s">
        <v>114</v>
      </c>
      <c r="R28" s="56" t="s">
        <v>58</v>
      </c>
      <c r="S28" s="39" t="s">
        <v>62</v>
      </c>
      <c r="T28" s="39" t="s">
        <v>62</v>
      </c>
      <c r="U28" s="39" t="s">
        <v>62</v>
      </c>
      <c r="V28" s="39" t="s">
        <v>62</v>
      </c>
      <c r="W28" s="56" t="s">
        <v>58</v>
      </c>
      <c r="X28" s="51" t="s">
        <v>81</v>
      </c>
      <c r="Y28" s="51" t="s">
        <v>81</v>
      </c>
      <c r="Z28" s="51" t="s">
        <v>81</v>
      </c>
      <c r="AA28" s="51" t="s">
        <v>81</v>
      </c>
      <c r="AB28" s="56" t="s">
        <v>58</v>
      </c>
      <c r="AC28" s="31" t="s">
        <v>61</v>
      </c>
      <c r="AD28" s="31" t="s">
        <v>61</v>
      </c>
      <c r="AE28" s="31" t="s">
        <v>61</v>
      </c>
      <c r="AF28" s="31" t="s">
        <v>61</v>
      </c>
      <c r="AG28" s="56" t="s">
        <v>58</v>
      </c>
      <c r="AH28" s="80" t="s">
        <v>128</v>
      </c>
      <c r="AI28" s="80" t="s">
        <v>128</v>
      </c>
      <c r="AJ28" s="80" t="s">
        <v>128</v>
      </c>
      <c r="AK28" s="80" t="s">
        <v>128</v>
      </c>
      <c r="AL28" s="56" t="s">
        <v>58</v>
      </c>
      <c r="AM28" s="56" t="s">
        <v>58</v>
      </c>
      <c r="AN28" s="61" t="s">
        <v>75</v>
      </c>
      <c r="AO28" s="61" t="s">
        <v>75</v>
      </c>
      <c r="AP28" s="61" t="s">
        <v>75</v>
      </c>
      <c r="AQ28" s="56" t="s">
        <v>58</v>
      </c>
      <c r="AR28" s="52" t="s">
        <v>79</v>
      </c>
      <c r="AS28" s="52" t="s">
        <v>79</v>
      </c>
      <c r="AT28" s="62" t="s">
        <v>70</v>
      </c>
      <c r="AU28" s="62" t="s">
        <v>70</v>
      </c>
      <c r="AV28" s="56" t="s">
        <v>58</v>
      </c>
      <c r="AW28" s="85"/>
      <c r="AX28" s="85"/>
      <c r="AY28" s="86"/>
      <c r="AZ28" s="86"/>
      <c r="BA28" s="56" t="s">
        <v>58</v>
      </c>
      <c r="BB28" s="83" t="s">
        <v>59</v>
      </c>
      <c r="BC28" s="1">
        <f t="shared" si="1"/>
        <v>12</v>
      </c>
      <c r="BD28" s="1">
        <f t="shared" si="2"/>
        <v>1</v>
      </c>
      <c r="BE28" s="1">
        <f t="shared" si="0"/>
        <v>0</v>
      </c>
      <c r="BF28" s="1">
        <f t="shared" si="3"/>
        <v>4</v>
      </c>
      <c r="BG28" s="1">
        <f t="shared" si="4"/>
        <v>4</v>
      </c>
      <c r="BH28" s="1">
        <f t="shared" si="5"/>
        <v>0</v>
      </c>
      <c r="BI28" s="1">
        <f t="shared" si="6"/>
        <v>0</v>
      </c>
      <c r="BJ28" s="1">
        <f t="shared" si="7"/>
        <v>6</v>
      </c>
      <c r="BK28" s="1">
        <f t="shared" si="8"/>
        <v>0</v>
      </c>
      <c r="BL28" s="1">
        <f t="shared" si="9"/>
        <v>0</v>
      </c>
      <c r="BM28" s="1">
        <f t="shared" si="10"/>
        <v>0</v>
      </c>
      <c r="BN28" s="1">
        <f t="shared" si="11"/>
        <v>0</v>
      </c>
      <c r="BO28" s="1">
        <f t="shared" si="12"/>
        <v>2</v>
      </c>
      <c r="BP28" s="1">
        <f t="shared" si="13"/>
        <v>0</v>
      </c>
      <c r="BQ28" s="1">
        <f t="shared" si="14"/>
        <v>0</v>
      </c>
      <c r="BR28" s="1">
        <f t="shared" si="15"/>
        <v>0</v>
      </c>
      <c r="BS28" s="1">
        <f t="shared" si="16"/>
        <v>0</v>
      </c>
      <c r="BT28" s="1">
        <f t="shared" si="17"/>
        <v>3</v>
      </c>
      <c r="BU28" s="1">
        <f t="shared" si="18"/>
        <v>0</v>
      </c>
      <c r="BV28" s="1">
        <f t="shared" si="19"/>
        <v>0</v>
      </c>
      <c r="BW28" s="1">
        <f t="shared" si="20"/>
        <v>0</v>
      </c>
      <c r="BX28" s="1">
        <f t="shared" si="21"/>
        <v>2</v>
      </c>
      <c r="BY28" s="1">
        <f t="shared" si="22"/>
        <v>0</v>
      </c>
      <c r="BZ28" s="1">
        <f t="shared" si="23"/>
        <v>4</v>
      </c>
    </row>
    <row r="29" spans="1:78">
      <c r="AM29" s="1" t="s">
        <v>129</v>
      </c>
    </row>
    <row r="30" spans="1:78" ht="15.75" thickBot="1"/>
    <row r="31" spans="1:78">
      <c r="B31" s="65" t="s">
        <v>58</v>
      </c>
      <c r="C31" s="29">
        <f t="shared" ref="C31:W31" si="24">COUNTIF(C4:C28,"CCIM")</f>
        <v>6</v>
      </c>
      <c r="D31" s="66">
        <f t="shared" si="24"/>
        <v>7</v>
      </c>
      <c r="E31" s="66">
        <f t="shared" si="24"/>
        <v>5</v>
      </c>
      <c r="F31" s="66">
        <f t="shared" si="24"/>
        <v>6</v>
      </c>
      <c r="G31" s="66">
        <f t="shared" si="24"/>
        <v>6</v>
      </c>
      <c r="H31" s="66">
        <f t="shared" si="24"/>
        <v>2</v>
      </c>
      <c r="I31" s="66">
        <f t="shared" si="24"/>
        <v>5</v>
      </c>
      <c r="J31" s="66">
        <f t="shared" si="24"/>
        <v>7</v>
      </c>
      <c r="K31" s="66">
        <f t="shared" si="24"/>
        <v>6</v>
      </c>
      <c r="L31" s="66">
        <f t="shared" si="24"/>
        <v>5</v>
      </c>
      <c r="M31" s="66">
        <f t="shared" si="24"/>
        <v>3</v>
      </c>
      <c r="N31" s="66">
        <f t="shared" si="24"/>
        <v>4</v>
      </c>
      <c r="O31" s="66">
        <f t="shared" si="24"/>
        <v>5</v>
      </c>
      <c r="P31" s="66">
        <f t="shared" si="24"/>
        <v>6</v>
      </c>
      <c r="Q31" s="66">
        <f t="shared" si="24"/>
        <v>5</v>
      </c>
      <c r="R31" s="66">
        <f t="shared" si="24"/>
        <v>1</v>
      </c>
      <c r="S31" s="66">
        <f t="shared" si="24"/>
        <v>4</v>
      </c>
      <c r="T31" s="66">
        <f t="shared" si="24"/>
        <v>5</v>
      </c>
      <c r="U31" s="66">
        <f t="shared" si="24"/>
        <v>5</v>
      </c>
      <c r="V31" s="66">
        <f t="shared" si="24"/>
        <v>4</v>
      </c>
      <c r="W31" s="66">
        <f t="shared" si="24"/>
        <v>3</v>
      </c>
      <c r="X31" s="66">
        <f>COUNTIF(X5:X28,"CCIM")</f>
        <v>4</v>
      </c>
      <c r="Y31" s="66">
        <f>COUNTIF(Y5:Y28,"CCIM")</f>
        <v>5</v>
      </c>
      <c r="Z31" s="66">
        <f>COUNTIF(Z5:Z28,"CCIM")</f>
        <v>6</v>
      </c>
      <c r="AA31" s="66">
        <f>COUNTIF(AA5:AA28,"CCIM")</f>
        <v>5</v>
      </c>
      <c r="AB31" s="66">
        <f>COUNTIF(AB4:AB28,"CCIM")</f>
        <v>3</v>
      </c>
      <c r="AC31" s="66">
        <f t="shared" ref="AC31:BB31" si="25">COUNTIF(AC4:AC28,"CCIM")</f>
        <v>2</v>
      </c>
      <c r="AD31" s="66">
        <f t="shared" si="25"/>
        <v>6</v>
      </c>
      <c r="AE31" s="66">
        <f t="shared" si="25"/>
        <v>5</v>
      </c>
      <c r="AF31" s="66">
        <f t="shared" si="25"/>
        <v>6</v>
      </c>
      <c r="AG31" s="66">
        <f t="shared" si="25"/>
        <v>3</v>
      </c>
      <c r="AH31" s="66">
        <f t="shared" si="25"/>
        <v>3</v>
      </c>
      <c r="AI31" s="66">
        <f t="shared" si="25"/>
        <v>6</v>
      </c>
      <c r="AJ31" s="66">
        <f t="shared" si="25"/>
        <v>6</v>
      </c>
      <c r="AK31" s="66">
        <f t="shared" si="25"/>
        <v>6</v>
      </c>
      <c r="AL31" s="66">
        <f t="shared" si="25"/>
        <v>3</v>
      </c>
      <c r="AM31" s="66">
        <f t="shared" si="25"/>
        <v>4</v>
      </c>
      <c r="AN31" s="66">
        <f t="shared" si="25"/>
        <v>5</v>
      </c>
      <c r="AO31" s="66">
        <f t="shared" si="25"/>
        <v>6</v>
      </c>
      <c r="AP31" s="66">
        <f t="shared" si="25"/>
        <v>5</v>
      </c>
      <c r="AQ31" s="66">
        <f t="shared" si="25"/>
        <v>2</v>
      </c>
      <c r="AR31" s="66">
        <f t="shared" si="25"/>
        <v>3</v>
      </c>
      <c r="AS31" s="66">
        <f t="shared" si="25"/>
        <v>5</v>
      </c>
      <c r="AT31" s="66">
        <f t="shared" si="25"/>
        <v>6</v>
      </c>
      <c r="AU31" s="66">
        <f t="shared" si="25"/>
        <v>3</v>
      </c>
      <c r="AV31" s="66">
        <f t="shared" si="25"/>
        <v>3</v>
      </c>
      <c r="AW31" s="66">
        <f t="shared" si="25"/>
        <v>4</v>
      </c>
      <c r="AX31" s="66">
        <f t="shared" si="25"/>
        <v>5</v>
      </c>
      <c r="AY31" s="66">
        <f t="shared" si="25"/>
        <v>6</v>
      </c>
      <c r="AZ31" s="66">
        <f t="shared" si="25"/>
        <v>4</v>
      </c>
      <c r="BA31" s="66">
        <f t="shared" si="25"/>
        <v>3</v>
      </c>
      <c r="BB31" s="67">
        <f t="shared" si="25"/>
        <v>6</v>
      </c>
    </row>
    <row r="32" spans="1:78">
      <c r="B32" s="83" t="s">
        <v>59</v>
      </c>
      <c r="C32" s="43">
        <f t="shared" ref="C32:W32" si="26">COUNTIF(C4:C28,"VAC")</f>
        <v>0</v>
      </c>
      <c r="D32" s="1">
        <f t="shared" si="26"/>
        <v>0</v>
      </c>
      <c r="E32" s="1">
        <f t="shared" si="26"/>
        <v>2</v>
      </c>
      <c r="F32" s="1">
        <f t="shared" si="26"/>
        <v>0</v>
      </c>
      <c r="G32" s="1">
        <f t="shared" si="26"/>
        <v>0</v>
      </c>
      <c r="H32" s="1">
        <f t="shared" si="26"/>
        <v>1</v>
      </c>
      <c r="I32" s="1">
        <f t="shared" si="26"/>
        <v>0</v>
      </c>
      <c r="J32" s="1">
        <f t="shared" si="26"/>
        <v>0</v>
      </c>
      <c r="K32" s="1">
        <f t="shared" si="26"/>
        <v>0</v>
      </c>
      <c r="L32" s="1">
        <f t="shared" si="26"/>
        <v>1</v>
      </c>
      <c r="M32" s="1">
        <f t="shared" si="26"/>
        <v>4</v>
      </c>
      <c r="N32" s="1">
        <f t="shared" si="26"/>
        <v>4</v>
      </c>
      <c r="O32" s="1">
        <f t="shared" si="26"/>
        <v>1</v>
      </c>
      <c r="P32" s="1">
        <f t="shared" si="26"/>
        <v>0</v>
      </c>
      <c r="Q32" s="1">
        <f t="shared" si="26"/>
        <v>2</v>
      </c>
      <c r="R32" s="1">
        <f t="shared" si="26"/>
        <v>5</v>
      </c>
      <c r="S32" s="1">
        <f t="shared" si="26"/>
        <v>2</v>
      </c>
      <c r="T32" s="1">
        <f t="shared" si="26"/>
        <v>2</v>
      </c>
      <c r="U32" s="1">
        <f t="shared" si="26"/>
        <v>2</v>
      </c>
      <c r="V32" s="1">
        <f t="shared" si="26"/>
        <v>4</v>
      </c>
      <c r="W32" s="1">
        <f t="shared" si="26"/>
        <v>0</v>
      </c>
      <c r="X32" s="1">
        <f>COUNTIF(X5:X28,"VAC")</f>
        <v>0</v>
      </c>
      <c r="Y32" s="1">
        <f>COUNTIF(Y5:Y28,"VAC")</f>
        <v>1</v>
      </c>
      <c r="Z32" s="1">
        <f>COUNTIF(Z5:Z28,"VAC")</f>
        <v>0</v>
      </c>
      <c r="AA32" s="1">
        <f>COUNTIF(AA5:AA28,"VAC")</f>
        <v>0</v>
      </c>
      <c r="AB32" s="1">
        <f t="shared" ref="AB32:BB32" si="27">COUNTIF(AB4:AB28,"VAC")</f>
        <v>3</v>
      </c>
      <c r="AC32" s="1">
        <f t="shared" si="27"/>
        <v>5</v>
      </c>
      <c r="AD32" s="1">
        <f t="shared" si="27"/>
        <v>0</v>
      </c>
      <c r="AE32" s="1">
        <f t="shared" si="27"/>
        <v>1</v>
      </c>
      <c r="AF32" s="1">
        <f t="shared" si="27"/>
        <v>1</v>
      </c>
      <c r="AG32" s="1">
        <f t="shared" si="27"/>
        <v>0</v>
      </c>
      <c r="AH32" s="1">
        <f t="shared" si="27"/>
        <v>1</v>
      </c>
      <c r="AI32" s="1">
        <f t="shared" si="27"/>
        <v>1</v>
      </c>
      <c r="AJ32" s="1">
        <f t="shared" si="27"/>
        <v>0</v>
      </c>
      <c r="AK32" s="1">
        <f t="shared" si="27"/>
        <v>1</v>
      </c>
      <c r="AL32" s="1">
        <f>COUNTIF(AL4:AL28,"VAC")</f>
        <v>1</v>
      </c>
      <c r="AM32" s="1">
        <f t="shared" si="27"/>
        <v>4</v>
      </c>
      <c r="AN32" s="1">
        <f t="shared" si="27"/>
        <v>5</v>
      </c>
      <c r="AO32" s="1">
        <f t="shared" si="27"/>
        <v>1</v>
      </c>
      <c r="AP32" s="1">
        <f t="shared" si="27"/>
        <v>4</v>
      </c>
      <c r="AQ32" s="1">
        <f t="shared" si="27"/>
        <v>4</v>
      </c>
      <c r="AR32" s="1">
        <f t="shared" si="27"/>
        <v>3</v>
      </c>
      <c r="AS32" s="1">
        <f t="shared" si="27"/>
        <v>3</v>
      </c>
      <c r="AT32" s="1">
        <f t="shared" si="27"/>
        <v>3</v>
      </c>
      <c r="AU32" s="1">
        <f t="shared" si="27"/>
        <v>4</v>
      </c>
      <c r="AV32" s="1">
        <f t="shared" si="27"/>
        <v>2</v>
      </c>
      <c r="AW32" s="1">
        <f t="shared" si="27"/>
        <v>1</v>
      </c>
      <c r="AX32" s="1">
        <f t="shared" si="27"/>
        <v>3</v>
      </c>
      <c r="AY32" s="1">
        <f t="shared" si="27"/>
        <v>1</v>
      </c>
      <c r="AZ32" s="1">
        <f t="shared" si="27"/>
        <v>2</v>
      </c>
      <c r="BA32" s="1">
        <f t="shared" si="27"/>
        <v>3</v>
      </c>
      <c r="BB32" s="68">
        <f t="shared" si="27"/>
        <v>2</v>
      </c>
    </row>
    <row r="33" spans="2:54">
      <c r="B33" s="73" t="s">
        <v>60</v>
      </c>
      <c r="C33" s="43">
        <f t="shared" ref="C33:W33" si="28">COUNTIF(C4:C28,"ELECTIVE")</f>
        <v>0</v>
      </c>
      <c r="D33" s="1">
        <f t="shared" si="28"/>
        <v>0</v>
      </c>
      <c r="E33" s="1">
        <f t="shared" si="28"/>
        <v>0</v>
      </c>
      <c r="F33" s="1">
        <f t="shared" si="28"/>
        <v>0</v>
      </c>
      <c r="G33" s="1">
        <f t="shared" si="28"/>
        <v>0</v>
      </c>
      <c r="H33" s="1">
        <f t="shared" si="28"/>
        <v>0</v>
      </c>
      <c r="I33" s="1">
        <f t="shared" si="28"/>
        <v>0</v>
      </c>
      <c r="J33" s="1">
        <f t="shared" si="28"/>
        <v>0</v>
      </c>
      <c r="K33" s="1">
        <f t="shared" si="28"/>
        <v>0</v>
      </c>
      <c r="L33" s="1">
        <f t="shared" si="28"/>
        <v>0</v>
      </c>
      <c r="M33" s="1">
        <f t="shared" si="28"/>
        <v>0</v>
      </c>
      <c r="N33" s="1">
        <f t="shared" si="28"/>
        <v>0</v>
      </c>
      <c r="O33" s="1">
        <f t="shared" si="28"/>
        <v>0</v>
      </c>
      <c r="P33" s="1">
        <f t="shared" si="28"/>
        <v>0</v>
      </c>
      <c r="Q33" s="1">
        <f t="shared" si="28"/>
        <v>0</v>
      </c>
      <c r="R33" s="1">
        <f t="shared" si="28"/>
        <v>0</v>
      </c>
      <c r="S33" s="1">
        <f t="shared" si="28"/>
        <v>0</v>
      </c>
      <c r="T33" s="1">
        <f t="shared" si="28"/>
        <v>0</v>
      </c>
      <c r="U33" s="1">
        <f t="shared" si="28"/>
        <v>0</v>
      </c>
      <c r="V33" s="1">
        <f t="shared" si="28"/>
        <v>0</v>
      </c>
      <c r="W33" s="1">
        <f t="shared" si="28"/>
        <v>0</v>
      </c>
      <c r="X33" s="1">
        <f>COUNTIF(X5:X28,"ELECTIVE")</f>
        <v>0</v>
      </c>
      <c r="Y33" s="1">
        <f>COUNTIF(Y5:Y28,"ELECTIVE")</f>
        <v>0</v>
      </c>
      <c r="Z33" s="1">
        <f>COUNTIF(Z5:Z28,"ELECTIVE")</f>
        <v>0</v>
      </c>
      <c r="AA33" s="1">
        <f>COUNTIF(AA5:AA28,"ELECTIVE")</f>
        <v>0</v>
      </c>
      <c r="AB33" s="1">
        <f t="shared" ref="AB33:BB33" si="29">COUNTIF(AB4:AB28,"ELECTIVE")</f>
        <v>0</v>
      </c>
      <c r="AC33" s="1">
        <f t="shared" si="29"/>
        <v>0</v>
      </c>
      <c r="AD33" s="1">
        <f t="shared" si="29"/>
        <v>0</v>
      </c>
      <c r="AE33" s="1">
        <f t="shared" si="29"/>
        <v>0</v>
      </c>
      <c r="AF33" s="1">
        <f t="shared" si="29"/>
        <v>0</v>
      </c>
      <c r="AG33" s="1">
        <f t="shared" si="29"/>
        <v>0</v>
      </c>
      <c r="AH33" s="1">
        <f t="shared" si="29"/>
        <v>0</v>
      </c>
      <c r="AI33" s="1">
        <f t="shared" si="29"/>
        <v>0</v>
      </c>
      <c r="AJ33" s="1">
        <f t="shared" si="29"/>
        <v>0</v>
      </c>
      <c r="AK33" s="1">
        <f t="shared" si="29"/>
        <v>0</v>
      </c>
      <c r="AL33" s="1">
        <f t="shared" si="29"/>
        <v>0</v>
      </c>
      <c r="AM33" s="1">
        <f t="shared" si="29"/>
        <v>0</v>
      </c>
      <c r="AN33" s="1">
        <f t="shared" si="29"/>
        <v>0</v>
      </c>
      <c r="AO33" s="1">
        <f t="shared" si="29"/>
        <v>0</v>
      </c>
      <c r="AP33" s="1">
        <f t="shared" si="29"/>
        <v>0</v>
      </c>
      <c r="AQ33" s="1">
        <f t="shared" si="29"/>
        <v>0</v>
      </c>
      <c r="AR33" s="1">
        <f t="shared" si="29"/>
        <v>0</v>
      </c>
      <c r="AS33" s="1">
        <f t="shared" si="29"/>
        <v>0</v>
      </c>
      <c r="AT33" s="1">
        <f t="shared" si="29"/>
        <v>0</v>
      </c>
      <c r="AU33" s="1">
        <f t="shared" si="29"/>
        <v>2</v>
      </c>
      <c r="AV33" s="1">
        <f t="shared" si="29"/>
        <v>3</v>
      </c>
      <c r="AW33" s="1">
        <f t="shared" si="29"/>
        <v>2</v>
      </c>
      <c r="AX33" s="1">
        <f t="shared" si="29"/>
        <v>0</v>
      </c>
      <c r="AY33" s="1">
        <f t="shared" si="29"/>
        <v>1</v>
      </c>
      <c r="AZ33" s="1">
        <f t="shared" si="29"/>
        <v>2</v>
      </c>
      <c r="BA33" s="1">
        <f t="shared" si="29"/>
        <v>4</v>
      </c>
      <c r="BB33" s="68">
        <f t="shared" si="29"/>
        <v>4</v>
      </c>
    </row>
    <row r="34" spans="2:54">
      <c r="B34" s="6" t="s">
        <v>61</v>
      </c>
      <c r="C34" s="43">
        <f t="shared" ref="C34:AH34" si="30">COUNTIF(C4:C28,"IMP 1")</f>
        <v>0</v>
      </c>
      <c r="D34" s="1">
        <f t="shared" si="30"/>
        <v>0</v>
      </c>
      <c r="E34" s="1">
        <f t="shared" si="30"/>
        <v>0</v>
      </c>
      <c r="F34" s="1">
        <f t="shared" si="30"/>
        <v>0</v>
      </c>
      <c r="G34" s="1">
        <f t="shared" si="30"/>
        <v>0</v>
      </c>
      <c r="H34" s="1">
        <f t="shared" si="30"/>
        <v>0</v>
      </c>
      <c r="I34" s="1">
        <f t="shared" si="30"/>
        <v>0</v>
      </c>
      <c r="J34" s="1">
        <f t="shared" si="30"/>
        <v>0</v>
      </c>
      <c r="K34" s="1">
        <f t="shared" si="30"/>
        <v>0</v>
      </c>
      <c r="L34" s="1">
        <f t="shared" si="30"/>
        <v>0</v>
      </c>
      <c r="M34" s="1">
        <f t="shared" si="30"/>
        <v>0</v>
      </c>
      <c r="N34" s="1">
        <f t="shared" si="30"/>
        <v>0</v>
      </c>
      <c r="O34" s="1">
        <f t="shared" si="30"/>
        <v>0</v>
      </c>
      <c r="P34" s="1">
        <f t="shared" si="30"/>
        <v>0</v>
      </c>
      <c r="Q34" s="1">
        <f t="shared" si="30"/>
        <v>0</v>
      </c>
      <c r="R34" s="1">
        <f t="shared" si="30"/>
        <v>0</v>
      </c>
      <c r="S34" s="1">
        <f t="shared" si="30"/>
        <v>0</v>
      </c>
      <c r="T34" s="1">
        <f t="shared" si="30"/>
        <v>0</v>
      </c>
      <c r="U34" s="1">
        <f t="shared" si="30"/>
        <v>0</v>
      </c>
      <c r="V34" s="1">
        <f t="shared" si="30"/>
        <v>0</v>
      </c>
      <c r="W34" s="1">
        <f t="shared" si="30"/>
        <v>0</v>
      </c>
      <c r="X34" s="1">
        <f>COUNTIF(X4:X28,"IMP 1")</f>
        <v>0</v>
      </c>
      <c r="Y34" s="1">
        <f>COUNTIF(Y4:Y28,"IMP 1")</f>
        <v>0</v>
      </c>
      <c r="Z34" s="1">
        <f>COUNTIF(Z4:Z28,"IMP 1")</f>
        <v>0</v>
      </c>
      <c r="AA34" s="1">
        <f>COUNTIF(AA4:AA28,"IMP 1")</f>
        <v>0</v>
      </c>
      <c r="AB34" s="1">
        <f t="shared" si="30"/>
        <v>0</v>
      </c>
      <c r="AC34" s="1">
        <f t="shared" si="30"/>
        <v>0</v>
      </c>
      <c r="AD34" s="1">
        <f t="shared" si="30"/>
        <v>0</v>
      </c>
      <c r="AE34" s="1">
        <f t="shared" si="30"/>
        <v>0</v>
      </c>
      <c r="AF34" s="1">
        <f t="shared" si="30"/>
        <v>0</v>
      </c>
      <c r="AG34" s="1">
        <f t="shared" si="30"/>
        <v>0</v>
      </c>
      <c r="AH34" s="1">
        <f t="shared" si="30"/>
        <v>0</v>
      </c>
      <c r="AI34" s="1">
        <f t="shared" ref="AI34:BB34" si="31">COUNTIF(AI4:AI28,"IMP 1")</f>
        <v>0</v>
      </c>
      <c r="AJ34" s="1">
        <f t="shared" si="31"/>
        <v>0</v>
      </c>
      <c r="AK34" s="1">
        <f t="shared" si="31"/>
        <v>0</v>
      </c>
      <c r="AL34" s="1">
        <f t="shared" si="31"/>
        <v>0</v>
      </c>
      <c r="AM34" s="1">
        <f t="shared" si="31"/>
        <v>0</v>
      </c>
      <c r="AN34" s="1">
        <f t="shared" si="31"/>
        <v>0</v>
      </c>
      <c r="AO34" s="1">
        <f t="shared" si="31"/>
        <v>0</v>
      </c>
      <c r="AP34" s="1">
        <f t="shared" si="31"/>
        <v>0</v>
      </c>
      <c r="AQ34" s="1">
        <f t="shared" si="31"/>
        <v>0</v>
      </c>
      <c r="AR34" s="1">
        <f t="shared" si="31"/>
        <v>0</v>
      </c>
      <c r="AS34" s="1">
        <f t="shared" si="31"/>
        <v>0</v>
      </c>
      <c r="AT34" s="1">
        <f t="shared" si="31"/>
        <v>0</v>
      </c>
      <c r="AU34" s="1">
        <f t="shared" si="31"/>
        <v>0</v>
      </c>
      <c r="AV34" s="1">
        <f t="shared" si="31"/>
        <v>0</v>
      </c>
      <c r="AW34" s="1">
        <f t="shared" si="31"/>
        <v>0</v>
      </c>
      <c r="AX34" s="1">
        <f t="shared" si="31"/>
        <v>0</v>
      </c>
      <c r="AY34" s="1">
        <f t="shared" si="31"/>
        <v>0</v>
      </c>
      <c r="AZ34" s="1">
        <f t="shared" si="31"/>
        <v>0</v>
      </c>
      <c r="BA34" s="1">
        <f t="shared" si="31"/>
        <v>0</v>
      </c>
      <c r="BB34" s="68">
        <f t="shared" si="31"/>
        <v>0</v>
      </c>
    </row>
    <row r="35" spans="2:54" ht="15.75">
      <c r="B35" s="7" t="s">
        <v>62</v>
      </c>
      <c r="C35" s="43">
        <f t="shared" ref="C35:AH35" si="32">COUNTIF(C4:C28,"IMP 2")</f>
        <v>0</v>
      </c>
      <c r="D35" s="1">
        <f t="shared" si="32"/>
        <v>0</v>
      </c>
      <c r="E35" s="1">
        <f t="shared" si="32"/>
        <v>0</v>
      </c>
      <c r="F35" s="1">
        <f t="shared" si="32"/>
        <v>0</v>
      </c>
      <c r="G35" s="1">
        <f t="shared" si="32"/>
        <v>0</v>
      </c>
      <c r="H35" s="1">
        <f t="shared" si="32"/>
        <v>0</v>
      </c>
      <c r="I35" s="1">
        <f t="shared" si="32"/>
        <v>0</v>
      </c>
      <c r="J35" s="1">
        <f t="shared" si="32"/>
        <v>0</v>
      </c>
      <c r="K35" s="1">
        <f t="shared" si="32"/>
        <v>0</v>
      </c>
      <c r="L35" s="1">
        <f t="shared" si="32"/>
        <v>0</v>
      </c>
      <c r="M35" s="1">
        <f t="shared" si="32"/>
        <v>0</v>
      </c>
      <c r="N35" s="1">
        <f t="shared" si="32"/>
        <v>0</v>
      </c>
      <c r="O35" s="1">
        <f t="shared" si="32"/>
        <v>0</v>
      </c>
      <c r="P35" s="1">
        <f t="shared" si="32"/>
        <v>0</v>
      </c>
      <c r="Q35" s="1">
        <f t="shared" si="32"/>
        <v>0</v>
      </c>
      <c r="R35" s="1">
        <f t="shared" si="32"/>
        <v>0</v>
      </c>
      <c r="S35" s="1">
        <f t="shared" si="32"/>
        <v>0</v>
      </c>
      <c r="T35" s="1">
        <f t="shared" si="32"/>
        <v>0</v>
      </c>
      <c r="U35" s="1">
        <f t="shared" si="32"/>
        <v>0</v>
      </c>
      <c r="V35" s="1">
        <f t="shared" si="32"/>
        <v>0</v>
      </c>
      <c r="W35" s="1">
        <f t="shared" si="32"/>
        <v>0</v>
      </c>
      <c r="X35" s="1">
        <f>COUNTIF(X4:X28,"IMP 2")</f>
        <v>0</v>
      </c>
      <c r="Y35" s="1">
        <f>COUNTIF(Y4:Y28,"IMP 2")</f>
        <v>0</v>
      </c>
      <c r="Z35" s="1">
        <f>COUNTIF(Z4:Z28,"IMP 2")</f>
        <v>0</v>
      </c>
      <c r="AA35" s="1">
        <f>COUNTIF(AA4:AA28,"IMP 2")</f>
        <v>0</v>
      </c>
      <c r="AB35" s="1">
        <f t="shared" si="32"/>
        <v>0</v>
      </c>
      <c r="AC35" s="1">
        <f t="shared" si="32"/>
        <v>0</v>
      </c>
      <c r="AD35" s="1">
        <f t="shared" si="32"/>
        <v>0</v>
      </c>
      <c r="AE35" s="1">
        <f t="shared" si="32"/>
        <v>0</v>
      </c>
      <c r="AF35" s="1">
        <f t="shared" si="32"/>
        <v>0</v>
      </c>
      <c r="AG35" s="1">
        <f t="shared" si="32"/>
        <v>0</v>
      </c>
      <c r="AH35" s="1">
        <f t="shared" si="32"/>
        <v>0</v>
      </c>
      <c r="AI35" s="1">
        <f t="shared" ref="AI35:BB35" si="33">COUNTIF(AI4:AI28,"IMP 2")</f>
        <v>0</v>
      </c>
      <c r="AJ35" s="1">
        <f t="shared" si="33"/>
        <v>0</v>
      </c>
      <c r="AK35" s="1">
        <f t="shared" si="33"/>
        <v>0</v>
      </c>
      <c r="AL35" s="1">
        <f t="shared" si="33"/>
        <v>0</v>
      </c>
      <c r="AM35" s="1">
        <f t="shared" si="33"/>
        <v>0</v>
      </c>
      <c r="AN35" s="1">
        <f t="shared" si="33"/>
        <v>0</v>
      </c>
      <c r="AO35" s="1">
        <f t="shared" si="33"/>
        <v>0</v>
      </c>
      <c r="AP35" s="1">
        <f t="shared" si="33"/>
        <v>0</v>
      </c>
      <c r="AQ35" s="1">
        <f t="shared" si="33"/>
        <v>0</v>
      </c>
      <c r="AR35" s="1">
        <f t="shared" si="33"/>
        <v>0</v>
      </c>
      <c r="AS35" s="1">
        <f t="shared" si="33"/>
        <v>0</v>
      </c>
      <c r="AT35" s="1">
        <f t="shared" si="33"/>
        <v>0</v>
      </c>
      <c r="AU35" s="1">
        <f t="shared" si="33"/>
        <v>0</v>
      </c>
      <c r="AV35" s="1">
        <f t="shared" si="33"/>
        <v>0</v>
      </c>
      <c r="AW35" s="1">
        <f t="shared" si="33"/>
        <v>0</v>
      </c>
      <c r="AX35" s="1">
        <f t="shared" si="33"/>
        <v>0</v>
      </c>
      <c r="AY35" s="1">
        <f t="shared" si="33"/>
        <v>0</v>
      </c>
      <c r="AZ35" s="1">
        <f t="shared" si="33"/>
        <v>0</v>
      </c>
      <c r="BA35" s="1">
        <f t="shared" si="33"/>
        <v>0</v>
      </c>
      <c r="BB35" s="68">
        <f t="shared" si="33"/>
        <v>0</v>
      </c>
    </row>
    <row r="36" spans="2:54">
      <c r="B36" s="34" t="s">
        <v>86</v>
      </c>
      <c r="C36" s="43">
        <f t="shared" ref="C36:W36" si="34">COUNTIF(C4:C28,"MICU 1")</f>
        <v>0</v>
      </c>
      <c r="D36" s="1">
        <f t="shared" si="34"/>
        <v>0</v>
      </c>
      <c r="E36" s="1">
        <f t="shared" si="34"/>
        <v>4</v>
      </c>
      <c r="F36" s="1">
        <f t="shared" si="34"/>
        <v>4</v>
      </c>
      <c r="G36" s="1">
        <f t="shared" si="34"/>
        <v>4</v>
      </c>
      <c r="H36" s="1">
        <f t="shared" si="34"/>
        <v>4</v>
      </c>
      <c r="I36" s="1">
        <f t="shared" si="34"/>
        <v>1</v>
      </c>
      <c r="J36" s="1">
        <f t="shared" si="34"/>
        <v>1</v>
      </c>
      <c r="K36" s="1">
        <f t="shared" si="34"/>
        <v>1</v>
      </c>
      <c r="L36" s="1">
        <f t="shared" si="34"/>
        <v>1</v>
      </c>
      <c r="M36" s="1">
        <f t="shared" si="34"/>
        <v>6</v>
      </c>
      <c r="N36" s="1">
        <f t="shared" si="34"/>
        <v>5</v>
      </c>
      <c r="O36" s="1">
        <f t="shared" si="34"/>
        <v>6</v>
      </c>
      <c r="P36" s="1">
        <f t="shared" si="34"/>
        <v>6</v>
      </c>
      <c r="Q36" s="1">
        <f t="shared" si="34"/>
        <v>4</v>
      </c>
      <c r="R36" s="1">
        <f t="shared" si="34"/>
        <v>5</v>
      </c>
      <c r="S36" s="1">
        <f t="shared" si="34"/>
        <v>4</v>
      </c>
      <c r="T36" s="1">
        <f t="shared" si="34"/>
        <v>4</v>
      </c>
      <c r="U36" s="1">
        <f t="shared" si="34"/>
        <v>4</v>
      </c>
      <c r="V36" s="1">
        <f t="shared" si="34"/>
        <v>4</v>
      </c>
      <c r="W36" s="1">
        <f t="shared" si="34"/>
        <v>4</v>
      </c>
      <c r="X36" s="1">
        <f>COUNTIF(X5:X28,"MICU 1")</f>
        <v>4</v>
      </c>
      <c r="Y36" s="1">
        <f>COUNTIF(Y5:Y28,"MICU 1")</f>
        <v>2</v>
      </c>
      <c r="Z36" s="1">
        <f>COUNTIF(Z5:Z28,"MICU 1")</f>
        <v>2</v>
      </c>
      <c r="AA36" s="1">
        <f>COUNTIF(AA5:AA28,"MICU 1")</f>
        <v>2</v>
      </c>
      <c r="AB36" s="1">
        <f t="shared" ref="AB36:BB36" si="35">COUNTIF(AB4:AB28,"MICU 1")</f>
        <v>1</v>
      </c>
      <c r="AC36" s="1">
        <f t="shared" si="35"/>
        <v>0</v>
      </c>
      <c r="AD36" s="1">
        <f t="shared" si="35"/>
        <v>0</v>
      </c>
      <c r="AE36" s="1">
        <f t="shared" si="35"/>
        <v>0</v>
      </c>
      <c r="AF36" s="1">
        <f t="shared" si="35"/>
        <v>0</v>
      </c>
      <c r="AG36" s="1">
        <f t="shared" si="35"/>
        <v>4</v>
      </c>
      <c r="AH36" s="1">
        <f t="shared" si="35"/>
        <v>3</v>
      </c>
      <c r="AI36" s="1">
        <f t="shared" si="35"/>
        <v>4</v>
      </c>
      <c r="AJ36" s="1">
        <f t="shared" si="35"/>
        <v>4</v>
      </c>
      <c r="AK36" s="1">
        <f t="shared" si="35"/>
        <v>4</v>
      </c>
      <c r="AL36" s="1">
        <f t="shared" si="35"/>
        <v>4</v>
      </c>
      <c r="AM36" s="1">
        <f t="shared" si="35"/>
        <v>3</v>
      </c>
      <c r="AN36" s="1">
        <f t="shared" si="35"/>
        <v>3</v>
      </c>
      <c r="AO36" s="1">
        <f t="shared" si="35"/>
        <v>3</v>
      </c>
      <c r="AP36" s="1">
        <f t="shared" si="35"/>
        <v>3</v>
      </c>
      <c r="AQ36" s="1">
        <f t="shared" si="35"/>
        <v>3</v>
      </c>
      <c r="AR36" s="1">
        <f t="shared" si="35"/>
        <v>3</v>
      </c>
      <c r="AS36" s="1">
        <f t="shared" si="35"/>
        <v>0</v>
      </c>
      <c r="AT36" s="1">
        <f t="shared" si="35"/>
        <v>0</v>
      </c>
      <c r="AU36" s="1">
        <f t="shared" si="35"/>
        <v>0</v>
      </c>
      <c r="AV36" s="1">
        <f t="shared" si="35"/>
        <v>0</v>
      </c>
      <c r="AW36" s="1">
        <f t="shared" si="35"/>
        <v>0</v>
      </c>
      <c r="AX36" s="1">
        <f t="shared" si="35"/>
        <v>0</v>
      </c>
      <c r="AY36" s="1" cm="1">
        <f t="array" ref="AY36">COUNTIF(AY4:AY28,BG41 BG34)</f>
        <v>0</v>
      </c>
      <c r="AZ36" s="1">
        <f t="shared" si="35"/>
        <v>0</v>
      </c>
      <c r="BA36" s="1">
        <f t="shared" si="35"/>
        <v>0</v>
      </c>
      <c r="BB36" s="68">
        <f t="shared" si="35"/>
        <v>0</v>
      </c>
    </row>
    <row r="37" spans="2:54">
      <c r="B37" s="9" t="s">
        <v>64</v>
      </c>
      <c r="C37" s="43">
        <f t="shared" ref="C37:AH37" si="36">COUNTIF(C4:C28,"IMP 3")</f>
        <v>0</v>
      </c>
      <c r="D37" s="1">
        <f t="shared" si="36"/>
        <v>0</v>
      </c>
      <c r="E37" s="1">
        <f t="shared" si="36"/>
        <v>0</v>
      </c>
      <c r="F37" s="1">
        <f t="shared" si="36"/>
        <v>0</v>
      </c>
      <c r="G37" s="1">
        <f t="shared" si="36"/>
        <v>0</v>
      </c>
      <c r="H37" s="1">
        <f t="shared" si="36"/>
        <v>0</v>
      </c>
      <c r="I37" s="1">
        <f t="shared" si="36"/>
        <v>0</v>
      </c>
      <c r="J37" s="1">
        <f t="shared" si="36"/>
        <v>0</v>
      </c>
      <c r="K37" s="1">
        <f t="shared" si="36"/>
        <v>0</v>
      </c>
      <c r="L37" s="1">
        <f t="shared" si="36"/>
        <v>0</v>
      </c>
      <c r="M37" s="1">
        <f t="shared" si="36"/>
        <v>0</v>
      </c>
      <c r="N37" s="1">
        <f t="shared" si="36"/>
        <v>0</v>
      </c>
      <c r="O37" s="1">
        <f t="shared" si="36"/>
        <v>0</v>
      </c>
      <c r="P37" s="1">
        <f t="shared" si="36"/>
        <v>0</v>
      </c>
      <c r="Q37" s="1">
        <f t="shared" si="36"/>
        <v>0</v>
      </c>
      <c r="R37" s="1">
        <f t="shared" si="36"/>
        <v>0</v>
      </c>
      <c r="S37" s="1">
        <f t="shared" si="36"/>
        <v>0</v>
      </c>
      <c r="T37" s="1">
        <f t="shared" si="36"/>
        <v>0</v>
      </c>
      <c r="U37" s="1">
        <f t="shared" si="36"/>
        <v>0</v>
      </c>
      <c r="V37" s="1">
        <f t="shared" si="36"/>
        <v>0</v>
      </c>
      <c r="W37" s="1">
        <f t="shared" si="36"/>
        <v>0</v>
      </c>
      <c r="X37" s="1">
        <f>COUNTIF(X4:X28,"IMP 3")</f>
        <v>0</v>
      </c>
      <c r="Y37" s="1">
        <f>COUNTIF(Y4:Y28,"IMP 3")</f>
        <v>0</v>
      </c>
      <c r="Z37" s="1">
        <f>COUNTIF(Z4:Z28,"IMP 3")</f>
        <v>0</v>
      </c>
      <c r="AA37" s="1">
        <f>COUNTIF(AA4:AA28,"IMP 3")</f>
        <v>0</v>
      </c>
      <c r="AB37" s="1">
        <f t="shared" si="36"/>
        <v>0</v>
      </c>
      <c r="AC37" s="1">
        <f t="shared" si="36"/>
        <v>0</v>
      </c>
      <c r="AD37" s="1">
        <f t="shared" si="36"/>
        <v>0</v>
      </c>
      <c r="AE37" s="1">
        <f t="shared" si="36"/>
        <v>0</v>
      </c>
      <c r="AF37" s="1">
        <f t="shared" si="36"/>
        <v>0</v>
      </c>
      <c r="AG37" s="1">
        <f t="shared" si="36"/>
        <v>0</v>
      </c>
      <c r="AH37" s="1">
        <f t="shared" si="36"/>
        <v>0</v>
      </c>
      <c r="AI37" s="1">
        <f t="shared" ref="AI37:BB37" si="37">COUNTIF(AI4:AI28,"IMP 3")</f>
        <v>0</v>
      </c>
      <c r="AJ37" s="1">
        <f t="shared" si="37"/>
        <v>0</v>
      </c>
      <c r="AK37" s="1">
        <f t="shared" si="37"/>
        <v>0</v>
      </c>
      <c r="AL37" s="1">
        <f t="shared" si="37"/>
        <v>0</v>
      </c>
      <c r="AM37" s="1">
        <f t="shared" si="37"/>
        <v>0</v>
      </c>
      <c r="AN37" s="1">
        <f t="shared" si="37"/>
        <v>0</v>
      </c>
      <c r="AO37" s="1">
        <f t="shared" si="37"/>
        <v>0</v>
      </c>
      <c r="AP37" s="1">
        <f t="shared" si="37"/>
        <v>0</v>
      </c>
      <c r="AQ37" s="1">
        <f t="shared" si="37"/>
        <v>0</v>
      </c>
      <c r="AR37" s="1">
        <f t="shared" si="37"/>
        <v>0</v>
      </c>
      <c r="AS37" s="1">
        <f t="shared" si="37"/>
        <v>0</v>
      </c>
      <c r="AT37" s="1">
        <f t="shared" si="37"/>
        <v>0</v>
      </c>
      <c r="AU37" s="1">
        <f t="shared" si="37"/>
        <v>0</v>
      </c>
      <c r="AV37" s="1">
        <f t="shared" si="37"/>
        <v>0</v>
      </c>
      <c r="AW37" s="1">
        <f t="shared" si="37"/>
        <v>0</v>
      </c>
      <c r="AX37" s="1">
        <f t="shared" si="37"/>
        <v>0</v>
      </c>
      <c r="AY37" s="1">
        <f t="shared" si="37"/>
        <v>0</v>
      </c>
      <c r="AZ37" s="1">
        <f t="shared" si="37"/>
        <v>0</v>
      </c>
      <c r="BA37" s="1">
        <f t="shared" si="37"/>
        <v>0</v>
      </c>
      <c r="BB37" s="68">
        <f t="shared" si="37"/>
        <v>0</v>
      </c>
    </row>
    <row r="38" spans="2:54">
      <c r="B38" s="48" t="s">
        <v>65</v>
      </c>
      <c r="C38" s="43">
        <f t="shared" ref="C38:W38" si="38">COUNTIF(C4:C28,"MICUMETRO1")</f>
        <v>0</v>
      </c>
      <c r="D38" s="1">
        <f t="shared" si="38"/>
        <v>2</v>
      </c>
      <c r="E38" s="1">
        <f t="shared" si="38"/>
        <v>2</v>
      </c>
      <c r="F38" s="1">
        <f t="shared" si="38"/>
        <v>2</v>
      </c>
      <c r="G38" s="1">
        <f t="shared" si="38"/>
        <v>2</v>
      </c>
      <c r="H38" s="1">
        <f t="shared" si="38"/>
        <v>0</v>
      </c>
      <c r="I38" s="1">
        <f t="shared" si="38"/>
        <v>1</v>
      </c>
      <c r="J38" s="1">
        <f t="shared" si="38"/>
        <v>1</v>
      </c>
      <c r="K38" s="1">
        <f t="shared" si="38"/>
        <v>0</v>
      </c>
      <c r="L38" s="1">
        <f t="shared" si="38"/>
        <v>0</v>
      </c>
      <c r="M38" s="1">
        <f t="shared" si="38"/>
        <v>0</v>
      </c>
      <c r="N38" s="1">
        <f t="shared" si="38"/>
        <v>0</v>
      </c>
      <c r="O38" s="1">
        <f t="shared" si="38"/>
        <v>0</v>
      </c>
      <c r="P38" s="1">
        <f t="shared" si="38"/>
        <v>0</v>
      </c>
      <c r="Q38" s="1">
        <f t="shared" si="38"/>
        <v>1</v>
      </c>
      <c r="R38" s="1">
        <f t="shared" si="38"/>
        <v>1</v>
      </c>
      <c r="S38" s="1">
        <f t="shared" si="38"/>
        <v>1</v>
      </c>
      <c r="T38" s="1">
        <f t="shared" si="38"/>
        <v>1</v>
      </c>
      <c r="U38" s="1">
        <f t="shared" si="38"/>
        <v>2</v>
      </c>
      <c r="V38" s="1">
        <f t="shared" si="38"/>
        <v>1</v>
      </c>
      <c r="W38" s="1">
        <f t="shared" si="38"/>
        <v>2</v>
      </c>
      <c r="X38" s="1">
        <f>COUNTIF(X5:X28,"MICUMETRO1")</f>
        <v>2</v>
      </c>
      <c r="Y38" s="1">
        <f>COUNTIF(Y5:Y28,"MICUMETRO1")</f>
        <v>0</v>
      </c>
      <c r="Z38" s="1">
        <f>COUNTIF(Z5:Z28,"MICUMETRO1")</f>
        <v>0</v>
      </c>
      <c r="AA38" s="1">
        <f>COUNTIF(AA5:AA28,"MICUMETRO1")</f>
        <v>0</v>
      </c>
      <c r="AB38" s="1">
        <f t="shared" ref="AB38:BB38" si="39">COUNTIF(AB4:AB28,"MICUMETRO1")</f>
        <v>0</v>
      </c>
      <c r="AC38" s="1">
        <f t="shared" si="39"/>
        <v>0</v>
      </c>
      <c r="AD38" s="1">
        <f t="shared" si="39"/>
        <v>0</v>
      </c>
      <c r="AE38" s="1">
        <f t="shared" si="39"/>
        <v>0</v>
      </c>
      <c r="AF38" s="1">
        <f t="shared" si="39"/>
        <v>0</v>
      </c>
      <c r="AG38" s="1">
        <f t="shared" si="39"/>
        <v>0</v>
      </c>
      <c r="AH38" s="1">
        <f t="shared" si="39"/>
        <v>0</v>
      </c>
      <c r="AI38" s="1">
        <f t="shared" si="39"/>
        <v>0</v>
      </c>
      <c r="AJ38" s="1">
        <f t="shared" si="39"/>
        <v>0</v>
      </c>
      <c r="AK38" s="1">
        <f t="shared" si="39"/>
        <v>0</v>
      </c>
      <c r="AL38" s="1">
        <f t="shared" si="39"/>
        <v>0</v>
      </c>
      <c r="AM38" s="1">
        <f t="shared" si="39"/>
        <v>0</v>
      </c>
      <c r="AN38" s="1">
        <f t="shared" si="39"/>
        <v>0</v>
      </c>
      <c r="AO38" s="1">
        <f t="shared" si="39"/>
        <v>0</v>
      </c>
      <c r="AP38" s="1">
        <f t="shared" si="39"/>
        <v>0</v>
      </c>
      <c r="AQ38" s="1">
        <f t="shared" si="39"/>
        <v>0</v>
      </c>
      <c r="AR38" s="1">
        <f t="shared" si="39"/>
        <v>0</v>
      </c>
      <c r="AS38" s="1">
        <f t="shared" si="39"/>
        <v>0</v>
      </c>
      <c r="AT38" s="1">
        <f t="shared" si="39"/>
        <v>0</v>
      </c>
      <c r="AU38" s="1">
        <f t="shared" si="39"/>
        <v>0</v>
      </c>
      <c r="AV38" s="1">
        <f t="shared" si="39"/>
        <v>0</v>
      </c>
      <c r="AW38" s="1">
        <f t="shared" si="39"/>
        <v>0</v>
      </c>
      <c r="AX38" s="1">
        <f t="shared" si="39"/>
        <v>0</v>
      </c>
      <c r="AY38" s="1">
        <f t="shared" si="39"/>
        <v>0</v>
      </c>
      <c r="AZ38" s="1">
        <f t="shared" si="39"/>
        <v>0</v>
      </c>
      <c r="BA38" s="1">
        <f t="shared" si="39"/>
        <v>0</v>
      </c>
      <c r="BB38" s="68">
        <f t="shared" si="39"/>
        <v>0</v>
      </c>
    </row>
    <row r="39" spans="2:54">
      <c r="B39" s="50" t="s">
        <v>66</v>
      </c>
      <c r="C39" s="43">
        <f t="shared" ref="C39:W39" si="40">COUNTIF(C4:C28,"MICUMETRO2")</f>
        <v>0</v>
      </c>
      <c r="D39" s="1">
        <f t="shared" si="40"/>
        <v>0</v>
      </c>
      <c r="E39" s="1">
        <f t="shared" si="40"/>
        <v>0</v>
      </c>
      <c r="F39" s="1">
        <f t="shared" si="40"/>
        <v>0</v>
      </c>
      <c r="G39" s="1">
        <f t="shared" si="40"/>
        <v>0</v>
      </c>
      <c r="H39" s="1">
        <f t="shared" si="40"/>
        <v>0</v>
      </c>
      <c r="I39" s="1">
        <f t="shared" si="40"/>
        <v>0</v>
      </c>
      <c r="J39" s="1">
        <f t="shared" si="40"/>
        <v>0</v>
      </c>
      <c r="K39" s="1">
        <f t="shared" si="40"/>
        <v>0</v>
      </c>
      <c r="L39" s="1">
        <f t="shared" si="40"/>
        <v>0</v>
      </c>
      <c r="M39" s="1">
        <f t="shared" si="40"/>
        <v>0</v>
      </c>
      <c r="N39" s="1">
        <f t="shared" si="40"/>
        <v>0</v>
      </c>
      <c r="O39" s="1">
        <f t="shared" si="40"/>
        <v>0</v>
      </c>
      <c r="P39" s="1">
        <f t="shared" si="40"/>
        <v>0</v>
      </c>
      <c r="Q39" s="1">
        <f t="shared" si="40"/>
        <v>0</v>
      </c>
      <c r="R39" s="1">
        <f t="shared" si="40"/>
        <v>0</v>
      </c>
      <c r="S39" s="1">
        <f t="shared" si="40"/>
        <v>0</v>
      </c>
      <c r="T39" s="1">
        <f t="shared" si="40"/>
        <v>0</v>
      </c>
      <c r="U39" s="1">
        <f t="shared" si="40"/>
        <v>0</v>
      </c>
      <c r="V39" s="1">
        <f t="shared" si="40"/>
        <v>0</v>
      </c>
      <c r="W39" s="1">
        <f t="shared" si="40"/>
        <v>0</v>
      </c>
      <c r="X39" s="1">
        <f>COUNTIF(X5:X28,"MICUMETRO2")</f>
        <v>0</v>
      </c>
      <c r="Y39" s="1">
        <f>COUNTIF(Y5:Y28,"MICUMETRO2")</f>
        <v>2</v>
      </c>
      <c r="Z39" s="1">
        <f>COUNTIF(Z5:Z28,"MICUMETRO2")</f>
        <v>3</v>
      </c>
      <c r="AA39" s="1">
        <f>COUNTIF(AA5:AA28,"MICUMETRO2")</f>
        <v>3</v>
      </c>
      <c r="AB39" s="1">
        <f t="shared" ref="AB39:BB39" si="41">COUNTIF(AB4:AB28,"MICUMETRO2")</f>
        <v>3</v>
      </c>
      <c r="AC39" s="1">
        <f t="shared" si="41"/>
        <v>2</v>
      </c>
      <c r="AD39" s="1">
        <f t="shared" si="41"/>
        <v>1</v>
      </c>
      <c r="AE39" s="1">
        <f t="shared" si="41"/>
        <v>1</v>
      </c>
      <c r="AF39" s="1">
        <f t="shared" si="41"/>
        <v>2</v>
      </c>
      <c r="AG39" s="1">
        <f t="shared" si="41"/>
        <v>3</v>
      </c>
      <c r="AH39" s="1">
        <f t="shared" si="41"/>
        <v>4</v>
      </c>
      <c r="AI39" s="1">
        <f>COUNTIF(AI4:AI28,"MICUMETRO2")</f>
        <v>3</v>
      </c>
      <c r="AJ39" s="1">
        <f t="shared" si="41"/>
        <v>2</v>
      </c>
      <c r="AK39" s="1">
        <f t="shared" si="41"/>
        <v>1</v>
      </c>
      <c r="AL39" s="1">
        <f t="shared" si="41"/>
        <v>1</v>
      </c>
      <c r="AM39" s="1">
        <f t="shared" si="41"/>
        <v>1</v>
      </c>
      <c r="AN39" s="1">
        <f t="shared" si="41"/>
        <v>1</v>
      </c>
      <c r="AO39" s="1">
        <f t="shared" si="41"/>
        <v>1</v>
      </c>
      <c r="AP39" s="1">
        <f t="shared" si="41"/>
        <v>1</v>
      </c>
      <c r="AQ39" s="1">
        <f t="shared" si="41"/>
        <v>1</v>
      </c>
      <c r="AR39" s="1">
        <f t="shared" si="41"/>
        <v>2</v>
      </c>
      <c r="AS39" s="1">
        <f t="shared" si="41"/>
        <v>1</v>
      </c>
      <c r="AT39" s="1">
        <f t="shared" si="41"/>
        <v>1</v>
      </c>
      <c r="AU39" s="1">
        <f t="shared" si="41"/>
        <v>1</v>
      </c>
      <c r="AV39" s="1">
        <f t="shared" si="41"/>
        <v>0</v>
      </c>
      <c r="AW39" s="1">
        <f t="shared" si="41"/>
        <v>0</v>
      </c>
      <c r="AX39" s="1">
        <f t="shared" si="41"/>
        <v>0</v>
      </c>
      <c r="AY39" s="1">
        <f t="shared" si="41"/>
        <v>0</v>
      </c>
      <c r="AZ39" s="1">
        <f t="shared" si="41"/>
        <v>0</v>
      </c>
      <c r="BA39" s="1">
        <f t="shared" si="41"/>
        <v>0</v>
      </c>
      <c r="BB39" s="68">
        <f t="shared" si="41"/>
        <v>0</v>
      </c>
    </row>
    <row r="40" spans="2:54">
      <c r="B40" s="33" t="s">
        <v>67</v>
      </c>
      <c r="C40" s="43">
        <f t="shared" ref="C40:W40" si="42">COUNTIF(C4:C28,"NF")</f>
        <v>0</v>
      </c>
      <c r="D40" s="1">
        <f t="shared" si="42"/>
        <v>0</v>
      </c>
      <c r="E40" s="1">
        <f t="shared" si="42"/>
        <v>0</v>
      </c>
      <c r="F40" s="1">
        <f t="shared" si="42"/>
        <v>0</v>
      </c>
      <c r="G40" s="1">
        <f t="shared" si="42"/>
        <v>0</v>
      </c>
      <c r="H40" s="1">
        <f t="shared" si="42"/>
        <v>3</v>
      </c>
      <c r="I40" s="1">
        <f t="shared" si="42"/>
        <v>3</v>
      </c>
      <c r="J40" s="1">
        <f t="shared" si="42"/>
        <v>3</v>
      </c>
      <c r="K40" s="1">
        <f t="shared" si="42"/>
        <v>3</v>
      </c>
      <c r="L40" s="1">
        <f t="shared" si="42"/>
        <v>3</v>
      </c>
      <c r="M40" s="1">
        <f t="shared" si="42"/>
        <v>2</v>
      </c>
      <c r="N40" s="1">
        <f t="shared" si="42"/>
        <v>3</v>
      </c>
      <c r="O40" s="1">
        <f t="shared" si="42"/>
        <v>3</v>
      </c>
      <c r="P40" s="1">
        <f t="shared" si="42"/>
        <v>3</v>
      </c>
      <c r="Q40" s="1">
        <f t="shared" si="42"/>
        <v>3</v>
      </c>
      <c r="R40" s="1">
        <f t="shared" si="42"/>
        <v>2</v>
      </c>
      <c r="S40" s="1">
        <f t="shared" si="42"/>
        <v>3</v>
      </c>
      <c r="T40" s="1">
        <f t="shared" si="42"/>
        <v>2</v>
      </c>
      <c r="U40" s="1">
        <f t="shared" si="42"/>
        <v>2</v>
      </c>
      <c r="V40" s="1">
        <f t="shared" si="42"/>
        <v>2</v>
      </c>
      <c r="W40" s="1">
        <f t="shared" si="42"/>
        <v>2</v>
      </c>
      <c r="X40" s="1">
        <f>COUNTIF(X5:X28,"NF")</f>
        <v>2</v>
      </c>
      <c r="Y40" s="1">
        <f>COUNTIF(Y5:Y28,"NF")</f>
        <v>2</v>
      </c>
      <c r="Z40" s="1">
        <f>COUNTIF(Z5:Z28,"NF")</f>
        <v>2</v>
      </c>
      <c r="AA40" s="1">
        <f>COUNTIF(AA5:AA28,"NF")</f>
        <v>2</v>
      </c>
      <c r="AB40" s="1">
        <f t="shared" ref="AB40:BB40" si="43">COUNTIF(AB4:AB28,"NF")</f>
        <v>3</v>
      </c>
      <c r="AC40" s="1">
        <f t="shared" si="43"/>
        <v>2</v>
      </c>
      <c r="AD40" s="1">
        <f t="shared" si="43"/>
        <v>3</v>
      </c>
      <c r="AE40" s="1">
        <f t="shared" si="43"/>
        <v>3</v>
      </c>
      <c r="AF40" s="1">
        <f t="shared" si="43"/>
        <v>3</v>
      </c>
      <c r="AG40" s="1">
        <f t="shared" si="43"/>
        <v>3</v>
      </c>
      <c r="AH40" s="1">
        <f t="shared" si="43"/>
        <v>3</v>
      </c>
      <c r="AI40" s="1">
        <f t="shared" si="43"/>
        <v>2</v>
      </c>
      <c r="AJ40" s="1">
        <f t="shared" si="43"/>
        <v>2</v>
      </c>
      <c r="AK40" s="1">
        <f t="shared" si="43"/>
        <v>2</v>
      </c>
      <c r="AL40" s="1">
        <f t="shared" si="43"/>
        <v>2</v>
      </c>
      <c r="AM40" s="1">
        <f t="shared" si="43"/>
        <v>2</v>
      </c>
      <c r="AN40" s="1">
        <f t="shared" si="43"/>
        <v>0</v>
      </c>
      <c r="AO40" s="1">
        <f t="shared" si="43"/>
        <v>2</v>
      </c>
      <c r="AP40" s="1">
        <f t="shared" si="43"/>
        <v>2</v>
      </c>
      <c r="AQ40" s="1">
        <f t="shared" si="43"/>
        <v>2</v>
      </c>
      <c r="AR40" s="1">
        <f t="shared" si="43"/>
        <v>0</v>
      </c>
      <c r="AS40" s="1">
        <f t="shared" si="43"/>
        <v>0</v>
      </c>
      <c r="AT40" s="1">
        <f t="shared" si="43"/>
        <v>0</v>
      </c>
      <c r="AU40" s="1">
        <f t="shared" si="43"/>
        <v>0</v>
      </c>
      <c r="AV40" s="1">
        <f t="shared" si="43"/>
        <v>0</v>
      </c>
      <c r="AW40" s="1">
        <f t="shared" si="43"/>
        <v>0</v>
      </c>
      <c r="AX40" s="1">
        <f t="shared" si="43"/>
        <v>0</v>
      </c>
      <c r="AY40" s="1">
        <f t="shared" si="43"/>
        <v>0</v>
      </c>
      <c r="AZ40" s="1">
        <f t="shared" si="43"/>
        <v>0</v>
      </c>
      <c r="BA40" s="1">
        <f t="shared" si="43"/>
        <v>0</v>
      </c>
      <c r="BB40" s="68">
        <f t="shared" si="43"/>
        <v>0</v>
      </c>
    </row>
    <row r="41" spans="2:54">
      <c r="B41" s="33" t="s">
        <v>68</v>
      </c>
      <c r="C41" s="43">
        <f t="shared" ref="C41:W41" si="44">COUNTIF(C4:C28,"NFMETRO")</f>
        <v>0</v>
      </c>
      <c r="D41" s="1">
        <f t="shared" si="44"/>
        <v>0</v>
      </c>
      <c r="E41" s="1">
        <f t="shared" si="44"/>
        <v>0</v>
      </c>
      <c r="F41" s="1">
        <f t="shared" si="44"/>
        <v>0</v>
      </c>
      <c r="G41" s="1">
        <f t="shared" si="44"/>
        <v>0</v>
      </c>
      <c r="H41" s="1">
        <f t="shared" si="44"/>
        <v>0</v>
      </c>
      <c r="I41" s="1">
        <f t="shared" si="44"/>
        <v>0</v>
      </c>
      <c r="J41" s="1">
        <f t="shared" si="44"/>
        <v>0</v>
      </c>
      <c r="K41" s="1">
        <f t="shared" si="44"/>
        <v>0</v>
      </c>
      <c r="L41" s="1">
        <f t="shared" si="44"/>
        <v>0</v>
      </c>
      <c r="M41" s="1">
        <f t="shared" si="44"/>
        <v>0</v>
      </c>
      <c r="N41" s="1">
        <f t="shared" si="44"/>
        <v>0</v>
      </c>
      <c r="O41" s="1">
        <f t="shared" si="44"/>
        <v>0</v>
      </c>
      <c r="P41" s="1">
        <f t="shared" si="44"/>
        <v>0</v>
      </c>
      <c r="Q41" s="1">
        <f t="shared" si="44"/>
        <v>0</v>
      </c>
      <c r="R41" s="1">
        <f t="shared" si="44"/>
        <v>0</v>
      </c>
      <c r="S41" s="1">
        <f t="shared" si="44"/>
        <v>0</v>
      </c>
      <c r="T41" s="1">
        <f t="shared" si="44"/>
        <v>0</v>
      </c>
      <c r="U41" s="1">
        <f t="shared" si="44"/>
        <v>0</v>
      </c>
      <c r="V41" s="1">
        <f t="shared" si="44"/>
        <v>0</v>
      </c>
      <c r="W41" s="1">
        <f t="shared" si="44"/>
        <v>0</v>
      </c>
      <c r="X41" s="1">
        <f>COUNTIF(X5:X28,"NFMETRO")</f>
        <v>0</v>
      </c>
      <c r="Y41" s="1">
        <f>COUNTIF(Y5:Y28,"NFMETRO")</f>
        <v>0</v>
      </c>
      <c r="Z41" s="1">
        <f>COUNTIF(Z5:Z28,"NFMETRO")</f>
        <v>0</v>
      </c>
      <c r="AA41" s="1">
        <f>COUNTIF(AA5:AA28,"NFMETRO")</f>
        <v>0</v>
      </c>
      <c r="AB41" s="1">
        <f t="shared" ref="AB41:BB41" si="45">COUNTIF(AB4:AB28,"NFMETRO")</f>
        <v>0</v>
      </c>
      <c r="AC41" s="1">
        <f t="shared" si="45"/>
        <v>0</v>
      </c>
      <c r="AD41" s="1">
        <f t="shared" si="45"/>
        <v>0</v>
      </c>
      <c r="AE41" s="1">
        <f t="shared" si="45"/>
        <v>0</v>
      </c>
      <c r="AF41" s="1">
        <f t="shared" si="45"/>
        <v>0</v>
      </c>
      <c r="AG41" s="1">
        <f t="shared" si="45"/>
        <v>0</v>
      </c>
      <c r="AH41" s="1">
        <f t="shared" si="45"/>
        <v>0</v>
      </c>
      <c r="AI41" s="1">
        <f t="shared" si="45"/>
        <v>0</v>
      </c>
      <c r="AJ41" s="1">
        <f t="shared" si="45"/>
        <v>0</v>
      </c>
      <c r="AK41" s="1">
        <f t="shared" si="45"/>
        <v>0</v>
      </c>
      <c r="AL41" s="1">
        <f t="shared" si="45"/>
        <v>0</v>
      </c>
      <c r="AM41" s="1">
        <f t="shared" si="45"/>
        <v>0</v>
      </c>
      <c r="AN41" s="1">
        <f t="shared" si="45"/>
        <v>0</v>
      </c>
      <c r="AO41" s="1">
        <f t="shared" si="45"/>
        <v>0</v>
      </c>
      <c r="AP41" s="1">
        <f t="shared" si="45"/>
        <v>0</v>
      </c>
      <c r="AQ41" s="1">
        <f t="shared" si="45"/>
        <v>0</v>
      </c>
      <c r="AR41" s="1">
        <f t="shared" si="45"/>
        <v>0</v>
      </c>
      <c r="AS41" s="1">
        <f t="shared" si="45"/>
        <v>0</v>
      </c>
      <c r="AT41" s="1">
        <f t="shared" si="45"/>
        <v>0</v>
      </c>
      <c r="AU41" s="1">
        <f t="shared" si="45"/>
        <v>0</v>
      </c>
      <c r="AV41" s="1">
        <f t="shared" si="45"/>
        <v>0</v>
      </c>
      <c r="AW41" s="1">
        <f t="shared" si="45"/>
        <v>0</v>
      </c>
      <c r="AX41" s="1">
        <f t="shared" si="45"/>
        <v>0</v>
      </c>
      <c r="AY41" s="1">
        <f t="shared" si="45"/>
        <v>0</v>
      </c>
      <c r="AZ41" s="1">
        <f t="shared" si="45"/>
        <v>0</v>
      </c>
      <c r="BA41" s="1">
        <f t="shared" si="45"/>
        <v>0</v>
      </c>
      <c r="BB41" s="68">
        <f t="shared" si="45"/>
        <v>0</v>
      </c>
    </row>
    <row r="42" spans="2:54">
      <c r="B42" s="37" t="s">
        <v>69</v>
      </c>
      <c r="C42" s="43">
        <f t="shared" ref="C42:W42" si="46">COUNTIF(C4:C28,"EM")</f>
        <v>0</v>
      </c>
      <c r="D42" s="1">
        <f t="shared" si="46"/>
        <v>0</v>
      </c>
      <c r="E42" s="1">
        <f t="shared" si="46"/>
        <v>0</v>
      </c>
      <c r="F42" s="1">
        <f t="shared" si="46"/>
        <v>0</v>
      </c>
      <c r="G42" s="1">
        <f t="shared" si="46"/>
        <v>0</v>
      </c>
      <c r="H42" s="1">
        <f t="shared" si="46"/>
        <v>2</v>
      </c>
      <c r="I42" s="1">
        <f t="shared" si="46"/>
        <v>2</v>
      </c>
      <c r="J42" s="1">
        <f t="shared" si="46"/>
        <v>2</v>
      </c>
      <c r="K42" s="1">
        <f t="shared" si="46"/>
        <v>2</v>
      </c>
      <c r="L42" s="1">
        <f t="shared" si="46"/>
        <v>2</v>
      </c>
      <c r="M42" s="1">
        <f t="shared" si="46"/>
        <v>2</v>
      </c>
      <c r="N42" s="1">
        <f t="shared" si="46"/>
        <v>1</v>
      </c>
      <c r="O42" s="1">
        <f t="shared" si="46"/>
        <v>2</v>
      </c>
      <c r="P42" s="1">
        <f t="shared" si="46"/>
        <v>2</v>
      </c>
      <c r="Q42" s="1">
        <f t="shared" si="46"/>
        <v>2</v>
      </c>
      <c r="R42" s="1">
        <f t="shared" si="46"/>
        <v>1</v>
      </c>
      <c r="S42" s="1">
        <f t="shared" si="46"/>
        <v>2</v>
      </c>
      <c r="T42" s="1">
        <f t="shared" si="46"/>
        <v>1</v>
      </c>
      <c r="U42" s="1">
        <f t="shared" si="46"/>
        <v>1</v>
      </c>
      <c r="V42" s="1">
        <f t="shared" si="46"/>
        <v>1</v>
      </c>
      <c r="W42" s="1">
        <f t="shared" si="46"/>
        <v>1</v>
      </c>
      <c r="X42" s="1">
        <f>COUNTIF(X5:X28,"EM")</f>
        <v>0</v>
      </c>
      <c r="Y42" s="1">
        <f>COUNTIF(Y5:Y28,"EM")</f>
        <v>0</v>
      </c>
      <c r="Z42" s="1">
        <f>COUNTIF(Z5:Z28,"EM")</f>
        <v>0</v>
      </c>
      <c r="AA42" s="1">
        <f>COUNTIF(AA5:AA28,"EM")</f>
        <v>0</v>
      </c>
      <c r="AB42" s="1">
        <f t="shared" ref="AB42:BB42" si="47">COUNTIF(AB4:AB28,"EM")</f>
        <v>2</v>
      </c>
      <c r="AC42" s="1">
        <f t="shared" si="47"/>
        <v>2</v>
      </c>
      <c r="AD42" s="1">
        <f t="shared" si="47"/>
        <v>2</v>
      </c>
      <c r="AE42" s="1">
        <f t="shared" si="47"/>
        <v>2</v>
      </c>
      <c r="AF42" s="1">
        <f t="shared" si="47"/>
        <v>1</v>
      </c>
      <c r="AG42" s="1">
        <f t="shared" si="47"/>
        <v>2</v>
      </c>
      <c r="AH42" s="1">
        <f t="shared" si="47"/>
        <v>2</v>
      </c>
      <c r="AI42" s="1">
        <f t="shared" si="47"/>
        <v>2</v>
      </c>
      <c r="AJ42" s="1">
        <f t="shared" si="47"/>
        <v>2</v>
      </c>
      <c r="AK42" s="1">
        <f t="shared" si="47"/>
        <v>2</v>
      </c>
      <c r="AL42" s="1">
        <f t="shared" si="47"/>
        <v>2</v>
      </c>
      <c r="AM42" s="1">
        <f t="shared" si="47"/>
        <v>1</v>
      </c>
      <c r="AN42" s="1">
        <f t="shared" si="47"/>
        <v>1</v>
      </c>
      <c r="AO42" s="1">
        <f t="shared" si="47"/>
        <v>1</v>
      </c>
      <c r="AP42" s="1">
        <f t="shared" si="47"/>
        <v>1</v>
      </c>
      <c r="AQ42" s="1">
        <f t="shared" si="47"/>
        <v>1</v>
      </c>
      <c r="AR42" s="1">
        <f t="shared" si="47"/>
        <v>0</v>
      </c>
      <c r="AS42" s="1">
        <f t="shared" si="47"/>
        <v>0</v>
      </c>
      <c r="AT42" s="1">
        <f t="shared" si="47"/>
        <v>0</v>
      </c>
      <c r="AU42" s="1">
        <f t="shared" si="47"/>
        <v>0</v>
      </c>
      <c r="AV42" s="1">
        <f t="shared" si="47"/>
        <v>0</v>
      </c>
      <c r="AW42" s="1">
        <f t="shared" si="47"/>
        <v>0</v>
      </c>
      <c r="AX42" s="1">
        <f t="shared" si="47"/>
        <v>0</v>
      </c>
      <c r="AY42" s="1">
        <f t="shared" si="47"/>
        <v>0</v>
      </c>
      <c r="AZ42" s="1">
        <f t="shared" si="47"/>
        <v>0</v>
      </c>
      <c r="BA42" s="1">
        <f t="shared" si="47"/>
        <v>0</v>
      </c>
      <c r="BB42" s="68">
        <f t="shared" si="47"/>
        <v>0</v>
      </c>
    </row>
    <row r="43" spans="2:54">
      <c r="B43" s="62" t="s">
        <v>70</v>
      </c>
      <c r="C43" s="43">
        <f t="shared" ref="C43:W43" si="48">COUNTIF(C4:C28,"ADD MED")</f>
        <v>0</v>
      </c>
      <c r="D43" s="1">
        <f t="shared" si="48"/>
        <v>0</v>
      </c>
      <c r="E43" s="1">
        <f t="shared" si="48"/>
        <v>0</v>
      </c>
      <c r="F43" s="1">
        <f t="shared" si="48"/>
        <v>0</v>
      </c>
      <c r="G43" s="1">
        <f t="shared" si="48"/>
        <v>0</v>
      </c>
      <c r="H43" s="1">
        <f t="shared" si="48"/>
        <v>0</v>
      </c>
      <c r="I43" s="1">
        <f t="shared" si="48"/>
        <v>0</v>
      </c>
      <c r="J43" s="1">
        <f t="shared" si="48"/>
        <v>0</v>
      </c>
      <c r="K43" s="1">
        <f t="shared" si="48"/>
        <v>0</v>
      </c>
      <c r="L43" s="1">
        <f t="shared" si="48"/>
        <v>0</v>
      </c>
      <c r="M43" s="1">
        <f t="shared" si="48"/>
        <v>0</v>
      </c>
      <c r="N43" s="1">
        <f t="shared" si="48"/>
        <v>0</v>
      </c>
      <c r="O43" s="1">
        <f t="shared" si="48"/>
        <v>0</v>
      </c>
      <c r="P43" s="1">
        <f t="shared" si="48"/>
        <v>0</v>
      </c>
      <c r="Q43" s="1">
        <f t="shared" si="48"/>
        <v>0</v>
      </c>
      <c r="R43" s="1">
        <f t="shared" si="48"/>
        <v>0</v>
      </c>
      <c r="S43" s="1">
        <f t="shared" si="48"/>
        <v>0</v>
      </c>
      <c r="T43" s="1">
        <f t="shared" si="48"/>
        <v>0</v>
      </c>
      <c r="U43" s="1">
        <f t="shared" si="48"/>
        <v>0</v>
      </c>
      <c r="V43" s="1">
        <f t="shared" si="48"/>
        <v>0</v>
      </c>
      <c r="W43" s="1">
        <f t="shared" si="48"/>
        <v>0</v>
      </c>
      <c r="X43" s="1">
        <f>COUNTIF(X5:X28,"ADD MED")</f>
        <v>0</v>
      </c>
      <c r="Y43" s="1">
        <f>COUNTIF(Y5:Y28,"ADD MED")</f>
        <v>0</v>
      </c>
      <c r="Z43" s="1">
        <f>COUNTIF(Z5:Z28,"ADD MED")</f>
        <v>0</v>
      </c>
      <c r="AA43" s="1">
        <f>COUNTIF(AA5:AA28,"ADD MED")</f>
        <v>0</v>
      </c>
      <c r="AB43" s="1">
        <f t="shared" ref="AB43:BB43" si="49">COUNTIF(AB4:AB28,"ADD MED")</f>
        <v>0</v>
      </c>
      <c r="AC43" s="1">
        <f t="shared" si="49"/>
        <v>0</v>
      </c>
      <c r="AD43" s="1">
        <f t="shared" si="49"/>
        <v>0</v>
      </c>
      <c r="AE43" s="1">
        <f t="shared" si="49"/>
        <v>0</v>
      </c>
      <c r="AF43" s="1">
        <f t="shared" si="49"/>
        <v>0</v>
      </c>
      <c r="AG43" s="1">
        <f t="shared" si="49"/>
        <v>0</v>
      </c>
      <c r="AH43" s="1">
        <f t="shared" si="49"/>
        <v>0</v>
      </c>
      <c r="AI43" s="1">
        <f t="shared" si="49"/>
        <v>0</v>
      </c>
      <c r="AJ43" s="1">
        <f t="shared" si="49"/>
        <v>0</v>
      </c>
      <c r="AK43" s="1">
        <f t="shared" si="49"/>
        <v>0</v>
      </c>
      <c r="AL43" s="1">
        <f t="shared" si="49"/>
        <v>0</v>
      </c>
      <c r="AM43" s="1">
        <f t="shared" si="49"/>
        <v>0</v>
      </c>
      <c r="AN43" s="1">
        <f t="shared" si="49"/>
        <v>0</v>
      </c>
      <c r="AO43" s="1">
        <f t="shared" si="49"/>
        <v>0</v>
      </c>
      <c r="AP43" s="1">
        <f t="shared" si="49"/>
        <v>0</v>
      </c>
      <c r="AQ43" s="1">
        <f t="shared" si="49"/>
        <v>0</v>
      </c>
      <c r="AR43" s="1">
        <f t="shared" si="49"/>
        <v>0</v>
      </c>
      <c r="AS43" s="1">
        <f t="shared" si="49"/>
        <v>0</v>
      </c>
      <c r="AT43" s="1">
        <f t="shared" si="49"/>
        <v>1</v>
      </c>
      <c r="AU43" s="1">
        <f t="shared" si="49"/>
        <v>1</v>
      </c>
      <c r="AV43" s="1">
        <f t="shared" si="49"/>
        <v>0</v>
      </c>
      <c r="AW43" s="1">
        <f t="shared" si="49"/>
        <v>1</v>
      </c>
      <c r="AX43" s="1">
        <f t="shared" si="49"/>
        <v>1</v>
      </c>
      <c r="AY43" s="1">
        <f t="shared" si="49"/>
        <v>0</v>
      </c>
      <c r="AZ43" s="1">
        <f t="shared" si="49"/>
        <v>0</v>
      </c>
      <c r="BA43" s="1">
        <f t="shared" si="49"/>
        <v>0</v>
      </c>
      <c r="BB43" s="68">
        <f t="shared" si="49"/>
        <v>0</v>
      </c>
    </row>
    <row r="44" spans="2:54">
      <c r="B44" s="41" t="s">
        <v>71</v>
      </c>
      <c r="C44" s="43">
        <f t="shared" ref="C44:W44" si="50">COUNTIF(C4:C28,"CARD")</f>
        <v>2</v>
      </c>
      <c r="D44" s="1">
        <f t="shared" si="50"/>
        <v>2</v>
      </c>
      <c r="E44" s="1">
        <f t="shared" si="50"/>
        <v>0</v>
      </c>
      <c r="F44" s="1">
        <f t="shared" si="50"/>
        <v>2</v>
      </c>
      <c r="G44" s="1">
        <f t="shared" si="50"/>
        <v>2</v>
      </c>
      <c r="H44" s="1">
        <f t="shared" si="50"/>
        <v>0</v>
      </c>
      <c r="I44" s="1">
        <f t="shared" si="50"/>
        <v>0</v>
      </c>
      <c r="J44" s="1">
        <f t="shared" si="50"/>
        <v>1</v>
      </c>
      <c r="K44" s="1">
        <f t="shared" si="50"/>
        <v>1</v>
      </c>
      <c r="L44" s="1">
        <f t="shared" si="50"/>
        <v>1</v>
      </c>
      <c r="M44" s="1">
        <f t="shared" si="50"/>
        <v>1</v>
      </c>
      <c r="N44" s="1">
        <f t="shared" si="50"/>
        <v>0</v>
      </c>
      <c r="O44" s="1">
        <f t="shared" si="50"/>
        <v>0</v>
      </c>
      <c r="P44" s="1">
        <f t="shared" si="50"/>
        <v>0</v>
      </c>
      <c r="Q44" s="1">
        <f t="shared" si="50"/>
        <v>0</v>
      </c>
      <c r="R44" s="1">
        <f t="shared" si="50"/>
        <v>1</v>
      </c>
      <c r="S44" s="1">
        <f t="shared" si="50"/>
        <v>2</v>
      </c>
      <c r="T44" s="1">
        <f t="shared" si="50"/>
        <v>2</v>
      </c>
      <c r="U44" s="1">
        <f t="shared" si="50"/>
        <v>1</v>
      </c>
      <c r="V44" s="1">
        <f t="shared" si="50"/>
        <v>2</v>
      </c>
      <c r="W44" s="1">
        <f t="shared" si="50"/>
        <v>2</v>
      </c>
      <c r="X44" s="1">
        <f>COUNTIF(X5:X28,"CARD")</f>
        <v>2</v>
      </c>
      <c r="Y44" s="1">
        <f>COUNTIF(Y5:Y28,"CARD")</f>
        <v>2</v>
      </c>
      <c r="Z44" s="1">
        <f>COUNTIF(Z5:Z28,"CARD")</f>
        <v>1</v>
      </c>
      <c r="AA44" s="1">
        <f>COUNTIF(AA5:AA28,"CARD")</f>
        <v>1</v>
      </c>
      <c r="AB44" s="1">
        <f t="shared" ref="AB44:BB44" si="51">COUNTIF(AB4:AB28,"CARD")</f>
        <v>1</v>
      </c>
      <c r="AC44" s="1">
        <f t="shared" si="51"/>
        <v>1</v>
      </c>
      <c r="AD44" s="1">
        <f t="shared" si="51"/>
        <v>1</v>
      </c>
      <c r="AE44" s="1">
        <f t="shared" si="51"/>
        <v>1</v>
      </c>
      <c r="AF44" s="1">
        <f t="shared" si="51"/>
        <v>1</v>
      </c>
      <c r="AG44" s="1">
        <f t="shared" si="51"/>
        <v>1</v>
      </c>
      <c r="AH44" s="1">
        <f t="shared" si="51"/>
        <v>0</v>
      </c>
      <c r="AI44" s="1">
        <f t="shared" si="51"/>
        <v>0</v>
      </c>
      <c r="AJ44" s="1">
        <f t="shared" si="51"/>
        <v>0</v>
      </c>
      <c r="AK44" s="1">
        <f t="shared" si="51"/>
        <v>0</v>
      </c>
      <c r="AL44" s="1">
        <f t="shared" si="51"/>
        <v>1</v>
      </c>
      <c r="AM44" s="1">
        <f t="shared" si="51"/>
        <v>1</v>
      </c>
      <c r="AN44" s="1">
        <f t="shared" si="51"/>
        <v>1</v>
      </c>
      <c r="AO44" s="1">
        <f t="shared" si="51"/>
        <v>1</v>
      </c>
      <c r="AP44" s="1">
        <f t="shared" si="51"/>
        <v>1</v>
      </c>
      <c r="AQ44" s="1">
        <f t="shared" si="51"/>
        <v>2</v>
      </c>
      <c r="AR44" s="1">
        <f t="shared" si="51"/>
        <v>2</v>
      </c>
      <c r="AS44" s="1">
        <f t="shared" si="51"/>
        <v>2</v>
      </c>
      <c r="AT44" s="1">
        <f t="shared" si="51"/>
        <v>1</v>
      </c>
      <c r="AU44" s="1">
        <f t="shared" si="51"/>
        <v>1</v>
      </c>
      <c r="AV44" s="1">
        <f t="shared" si="51"/>
        <v>1</v>
      </c>
      <c r="AW44" s="1">
        <f t="shared" si="51"/>
        <v>1</v>
      </c>
      <c r="AX44" s="1">
        <f t="shared" si="51"/>
        <v>0</v>
      </c>
      <c r="AY44" s="1">
        <f t="shared" si="51"/>
        <v>0</v>
      </c>
      <c r="AZ44" s="1">
        <f t="shared" si="51"/>
        <v>0</v>
      </c>
      <c r="BA44" s="1">
        <f t="shared" si="51"/>
        <v>0</v>
      </c>
      <c r="BB44" s="68">
        <f t="shared" si="51"/>
        <v>0</v>
      </c>
    </row>
    <row r="45" spans="2:54">
      <c r="B45" s="60" t="s">
        <v>72</v>
      </c>
      <c r="C45" s="43">
        <f t="shared" ref="C45:W45" si="52">COUNTIF(C4:C28,"ENDO")</f>
        <v>0</v>
      </c>
      <c r="D45" s="1">
        <f t="shared" si="52"/>
        <v>0</v>
      </c>
      <c r="E45" s="1">
        <f t="shared" si="52"/>
        <v>0</v>
      </c>
      <c r="F45" s="1">
        <f t="shared" si="52"/>
        <v>0</v>
      </c>
      <c r="G45" s="1">
        <f t="shared" si="52"/>
        <v>0</v>
      </c>
      <c r="H45" s="1">
        <f t="shared" si="52"/>
        <v>0</v>
      </c>
      <c r="I45" s="1">
        <f t="shared" si="52"/>
        <v>0</v>
      </c>
      <c r="J45" s="1">
        <f t="shared" si="52"/>
        <v>0</v>
      </c>
      <c r="K45" s="1">
        <f t="shared" si="52"/>
        <v>0</v>
      </c>
      <c r="L45" s="1">
        <f t="shared" si="52"/>
        <v>0</v>
      </c>
      <c r="M45" s="1">
        <f t="shared" si="52"/>
        <v>0</v>
      </c>
      <c r="N45" s="1">
        <f t="shared" si="52"/>
        <v>0</v>
      </c>
      <c r="O45" s="1">
        <f t="shared" si="52"/>
        <v>0</v>
      </c>
      <c r="P45" s="1">
        <f t="shared" si="52"/>
        <v>0</v>
      </c>
      <c r="Q45" s="1">
        <f t="shared" si="52"/>
        <v>0</v>
      </c>
      <c r="R45" s="1">
        <f t="shared" si="52"/>
        <v>0</v>
      </c>
      <c r="S45" s="1">
        <f t="shared" si="52"/>
        <v>0</v>
      </c>
      <c r="T45" s="1">
        <f t="shared" si="52"/>
        <v>0</v>
      </c>
      <c r="U45" s="1">
        <f t="shared" si="52"/>
        <v>0</v>
      </c>
      <c r="V45" s="1">
        <f t="shared" si="52"/>
        <v>0</v>
      </c>
      <c r="W45" s="1">
        <f t="shared" si="52"/>
        <v>0</v>
      </c>
      <c r="X45" s="1">
        <f>COUNTIF(X5:X28,"ENDO")</f>
        <v>0</v>
      </c>
      <c r="Y45" s="1">
        <f>COUNTIF(Y5:Y28,"ENDO")</f>
        <v>0</v>
      </c>
      <c r="Z45" s="1">
        <f>COUNTIF(Z5:Z28,"ENDO")</f>
        <v>0</v>
      </c>
      <c r="AA45" s="1">
        <f>COUNTIF(AA5:AA28,"ENDO")</f>
        <v>0</v>
      </c>
      <c r="AB45" s="1">
        <f t="shared" ref="AB45:BB45" si="53">COUNTIF(AB4:AB28,"ENDO")</f>
        <v>0</v>
      </c>
      <c r="AC45" s="1">
        <f t="shared" si="53"/>
        <v>0</v>
      </c>
      <c r="AD45" s="1">
        <f t="shared" si="53"/>
        <v>0</v>
      </c>
      <c r="AE45" s="1">
        <f t="shared" si="53"/>
        <v>0</v>
      </c>
      <c r="AF45" s="1">
        <f t="shared" si="53"/>
        <v>0</v>
      </c>
      <c r="AG45" s="1">
        <f t="shared" si="53"/>
        <v>0</v>
      </c>
      <c r="AH45" s="1">
        <f t="shared" si="53"/>
        <v>0</v>
      </c>
      <c r="AI45" s="1">
        <f t="shared" si="53"/>
        <v>0</v>
      </c>
      <c r="AJ45" s="1">
        <f t="shared" si="53"/>
        <v>0</v>
      </c>
      <c r="AK45" s="1">
        <f t="shared" si="53"/>
        <v>0</v>
      </c>
      <c r="AL45" s="1">
        <f t="shared" si="53"/>
        <v>0</v>
      </c>
      <c r="AM45" s="1">
        <f t="shared" si="53"/>
        <v>0</v>
      </c>
      <c r="AN45" s="1">
        <f t="shared" si="53"/>
        <v>0</v>
      </c>
      <c r="AO45" s="1">
        <f t="shared" si="53"/>
        <v>0</v>
      </c>
      <c r="AP45" s="1">
        <f t="shared" si="53"/>
        <v>0</v>
      </c>
      <c r="AQ45" s="1">
        <f t="shared" si="53"/>
        <v>0</v>
      </c>
      <c r="AR45" s="1">
        <f t="shared" si="53"/>
        <v>0</v>
      </c>
      <c r="AS45" s="1">
        <f t="shared" si="53"/>
        <v>0</v>
      </c>
      <c r="AT45" s="1">
        <f t="shared" si="53"/>
        <v>0</v>
      </c>
      <c r="AU45" s="1">
        <f t="shared" si="53"/>
        <v>0</v>
      </c>
      <c r="AV45" s="1">
        <f t="shared" si="53"/>
        <v>0</v>
      </c>
      <c r="AW45" s="1">
        <f t="shared" si="53"/>
        <v>0</v>
      </c>
      <c r="AX45" s="1">
        <f t="shared" si="53"/>
        <v>0</v>
      </c>
      <c r="AY45" s="1">
        <f t="shared" si="53"/>
        <v>0</v>
      </c>
      <c r="AZ45" s="1">
        <f t="shared" si="53"/>
        <v>0</v>
      </c>
      <c r="BA45" s="1">
        <f t="shared" si="53"/>
        <v>0</v>
      </c>
      <c r="BB45" s="68">
        <f t="shared" si="53"/>
        <v>0</v>
      </c>
    </row>
    <row r="46" spans="2:54">
      <c r="B46" s="63" t="s">
        <v>73</v>
      </c>
      <c r="C46" s="43">
        <f t="shared" ref="C46:W46" si="54">COUNTIF(C4:C28,"GERI")</f>
        <v>0</v>
      </c>
      <c r="D46" s="1">
        <f t="shared" si="54"/>
        <v>0</v>
      </c>
      <c r="E46" s="1">
        <f t="shared" si="54"/>
        <v>0</v>
      </c>
      <c r="F46" s="1">
        <f t="shared" si="54"/>
        <v>0</v>
      </c>
      <c r="G46" s="1">
        <f t="shared" si="54"/>
        <v>0</v>
      </c>
      <c r="H46" s="1">
        <f t="shared" si="54"/>
        <v>0</v>
      </c>
      <c r="I46" s="1">
        <f t="shared" si="54"/>
        <v>0</v>
      </c>
      <c r="J46" s="1">
        <f t="shared" si="54"/>
        <v>0</v>
      </c>
      <c r="K46" s="1">
        <f t="shared" si="54"/>
        <v>0</v>
      </c>
      <c r="L46" s="1">
        <f t="shared" si="54"/>
        <v>0</v>
      </c>
      <c r="M46" s="1">
        <f t="shared" si="54"/>
        <v>0</v>
      </c>
      <c r="N46" s="1">
        <f t="shared" si="54"/>
        <v>0</v>
      </c>
      <c r="O46" s="1">
        <f t="shared" si="54"/>
        <v>0</v>
      </c>
      <c r="P46" s="1">
        <f t="shared" si="54"/>
        <v>0</v>
      </c>
      <c r="Q46" s="1">
        <f t="shared" si="54"/>
        <v>0</v>
      </c>
      <c r="R46" s="1">
        <f t="shared" si="54"/>
        <v>0</v>
      </c>
      <c r="S46" s="1">
        <f t="shared" si="54"/>
        <v>0</v>
      </c>
      <c r="T46" s="1">
        <f t="shared" si="54"/>
        <v>0</v>
      </c>
      <c r="U46" s="1">
        <f t="shared" si="54"/>
        <v>0</v>
      </c>
      <c r="V46" s="1">
        <f t="shared" si="54"/>
        <v>0</v>
      </c>
      <c r="W46" s="1">
        <f t="shared" si="54"/>
        <v>0</v>
      </c>
      <c r="X46" s="1">
        <f>COUNTIF(X5:X28,"GERI")</f>
        <v>0</v>
      </c>
      <c r="Y46" s="1">
        <f>COUNTIF(Y5:Y28,"GERI")</f>
        <v>0</v>
      </c>
      <c r="Z46" s="1">
        <f>COUNTIF(Z5:Z28,"GERI")</f>
        <v>0</v>
      </c>
      <c r="AA46" s="1">
        <f>COUNTIF(AA5:AA28,"GERI")</f>
        <v>0</v>
      </c>
      <c r="AB46" s="1">
        <f t="shared" ref="AB46:BB46" si="55">COUNTIF(AB4:AB28,"GERI")</f>
        <v>0</v>
      </c>
      <c r="AC46" s="1">
        <f t="shared" si="55"/>
        <v>0</v>
      </c>
      <c r="AD46" s="1">
        <f t="shared" si="55"/>
        <v>0</v>
      </c>
      <c r="AE46" s="1">
        <f t="shared" si="55"/>
        <v>0</v>
      </c>
      <c r="AF46" s="1">
        <f t="shared" si="55"/>
        <v>0</v>
      </c>
      <c r="AG46" s="1">
        <f t="shared" si="55"/>
        <v>0</v>
      </c>
      <c r="AH46" s="1">
        <f t="shared" si="55"/>
        <v>0</v>
      </c>
      <c r="AI46" s="1">
        <f t="shared" si="55"/>
        <v>0</v>
      </c>
      <c r="AJ46" s="1">
        <f t="shared" si="55"/>
        <v>0</v>
      </c>
      <c r="AK46" s="1">
        <f t="shared" si="55"/>
        <v>0</v>
      </c>
      <c r="AL46" s="1">
        <f t="shared" si="55"/>
        <v>0</v>
      </c>
      <c r="AM46" s="1">
        <f t="shared" si="55"/>
        <v>0</v>
      </c>
      <c r="AN46" s="1">
        <f t="shared" si="55"/>
        <v>0</v>
      </c>
      <c r="AO46" s="1">
        <f t="shared" si="55"/>
        <v>0</v>
      </c>
      <c r="AP46" s="1">
        <f t="shared" si="55"/>
        <v>1</v>
      </c>
      <c r="AQ46" s="1">
        <f t="shared" si="55"/>
        <v>1</v>
      </c>
      <c r="AR46" s="1">
        <f t="shared" si="55"/>
        <v>0</v>
      </c>
      <c r="AS46" s="1">
        <f t="shared" si="55"/>
        <v>0</v>
      </c>
      <c r="AT46" s="1">
        <f t="shared" si="55"/>
        <v>0</v>
      </c>
      <c r="AU46" s="1">
        <f t="shared" si="55"/>
        <v>0</v>
      </c>
      <c r="AV46" s="1">
        <f t="shared" si="55"/>
        <v>0</v>
      </c>
      <c r="AW46" s="1">
        <f t="shared" si="55"/>
        <v>0</v>
      </c>
      <c r="AX46" s="1">
        <f t="shared" si="55"/>
        <v>0</v>
      </c>
      <c r="AY46" s="1">
        <f t="shared" si="55"/>
        <v>1</v>
      </c>
      <c r="AZ46" s="1">
        <f t="shared" si="55"/>
        <v>1</v>
      </c>
      <c r="BA46" s="1">
        <f t="shared" si="55"/>
        <v>0</v>
      </c>
      <c r="BB46" s="68">
        <f t="shared" si="55"/>
        <v>0</v>
      </c>
    </row>
    <row r="47" spans="2:54">
      <c r="B47" s="47" t="s">
        <v>74</v>
      </c>
      <c r="C47" s="43">
        <f t="shared" ref="C47:W47" si="56">COUNTIF(C4:C28,"GI")</f>
        <v>0</v>
      </c>
      <c r="D47" s="1">
        <f t="shared" si="56"/>
        <v>1</v>
      </c>
      <c r="E47" s="1">
        <f t="shared" si="56"/>
        <v>1</v>
      </c>
      <c r="F47" s="1">
        <f t="shared" si="56"/>
        <v>1</v>
      </c>
      <c r="G47" s="1">
        <f t="shared" si="56"/>
        <v>1</v>
      </c>
      <c r="H47" s="1">
        <f t="shared" si="56"/>
        <v>1</v>
      </c>
      <c r="I47" s="1">
        <f t="shared" si="56"/>
        <v>1</v>
      </c>
      <c r="J47" s="1">
        <f t="shared" si="56"/>
        <v>1</v>
      </c>
      <c r="K47" s="1">
        <f t="shared" si="56"/>
        <v>1</v>
      </c>
      <c r="L47" s="1">
        <f t="shared" si="56"/>
        <v>1</v>
      </c>
      <c r="M47" s="1">
        <f t="shared" si="56"/>
        <v>1</v>
      </c>
      <c r="N47" s="1">
        <f t="shared" si="56"/>
        <v>1</v>
      </c>
      <c r="O47" s="1">
        <f t="shared" si="56"/>
        <v>1</v>
      </c>
      <c r="P47" s="1">
        <f t="shared" si="56"/>
        <v>1</v>
      </c>
      <c r="Q47" s="1">
        <f t="shared" si="56"/>
        <v>1</v>
      </c>
      <c r="R47" s="1">
        <f t="shared" si="56"/>
        <v>1</v>
      </c>
      <c r="S47" s="1">
        <f t="shared" si="56"/>
        <v>1</v>
      </c>
      <c r="T47" s="1">
        <f t="shared" si="56"/>
        <v>1</v>
      </c>
      <c r="U47" s="1">
        <f t="shared" si="56"/>
        <v>1</v>
      </c>
      <c r="V47" s="1">
        <f t="shared" si="56"/>
        <v>1</v>
      </c>
      <c r="W47" s="1">
        <f t="shared" si="56"/>
        <v>1</v>
      </c>
      <c r="X47" s="1">
        <f>COUNTIF(X5:X28,"GI")</f>
        <v>0</v>
      </c>
      <c r="Y47" s="1">
        <f>COUNTIF(Y5:Y28,"GI")</f>
        <v>0</v>
      </c>
      <c r="Z47" s="1">
        <f>COUNTIF(Z5:Z28,"GI")</f>
        <v>0</v>
      </c>
      <c r="AA47" s="1">
        <f>COUNTIF(AA5:AA28,"GI")</f>
        <v>0</v>
      </c>
      <c r="AB47" s="1">
        <f t="shared" ref="AB47:BB47" si="57">COUNTIF(AB4:AB28,"GI")</f>
        <v>0</v>
      </c>
      <c r="AC47" s="1">
        <f t="shared" si="57"/>
        <v>0</v>
      </c>
      <c r="AD47" s="1">
        <f t="shared" si="57"/>
        <v>0</v>
      </c>
      <c r="AE47" s="1">
        <f t="shared" si="57"/>
        <v>0</v>
      </c>
      <c r="AF47" s="1">
        <f t="shared" si="57"/>
        <v>0</v>
      </c>
      <c r="AG47" s="1">
        <f t="shared" si="57"/>
        <v>0</v>
      </c>
      <c r="AH47" s="1">
        <f t="shared" si="57"/>
        <v>0</v>
      </c>
      <c r="AI47" s="1">
        <f t="shared" si="57"/>
        <v>0</v>
      </c>
      <c r="AJ47" s="1">
        <f t="shared" si="57"/>
        <v>1</v>
      </c>
      <c r="AK47" s="1">
        <f t="shared" si="57"/>
        <v>2</v>
      </c>
      <c r="AL47" s="1">
        <f t="shared" si="57"/>
        <v>2</v>
      </c>
      <c r="AM47" s="1">
        <f t="shared" si="57"/>
        <v>2</v>
      </c>
      <c r="AN47" s="1">
        <f t="shared" si="57"/>
        <v>2</v>
      </c>
      <c r="AO47" s="1">
        <f t="shared" si="57"/>
        <v>1</v>
      </c>
      <c r="AP47" s="1">
        <f t="shared" si="57"/>
        <v>1</v>
      </c>
      <c r="AQ47" s="1">
        <f t="shared" si="57"/>
        <v>1</v>
      </c>
      <c r="AR47" s="1">
        <f t="shared" si="57"/>
        <v>0</v>
      </c>
      <c r="AS47" s="1">
        <f t="shared" si="57"/>
        <v>0</v>
      </c>
      <c r="AT47" s="1">
        <f t="shared" si="57"/>
        <v>0</v>
      </c>
      <c r="AU47" s="1">
        <f t="shared" si="57"/>
        <v>0</v>
      </c>
      <c r="AV47" s="1">
        <f t="shared" si="57"/>
        <v>1</v>
      </c>
      <c r="AW47" s="1">
        <f t="shared" si="57"/>
        <v>1</v>
      </c>
      <c r="AX47" s="1">
        <f t="shared" si="57"/>
        <v>1</v>
      </c>
      <c r="AY47" s="1">
        <f t="shared" si="57"/>
        <v>1</v>
      </c>
      <c r="AZ47" s="1">
        <f t="shared" si="57"/>
        <v>0</v>
      </c>
      <c r="BA47" s="1">
        <f t="shared" si="57"/>
        <v>0</v>
      </c>
      <c r="BB47" s="68">
        <f t="shared" si="57"/>
        <v>0</v>
      </c>
    </row>
    <row r="48" spans="2:54">
      <c r="B48" s="61" t="s">
        <v>75</v>
      </c>
      <c r="C48" s="43">
        <f t="shared" ref="C48:AH48" si="58">COUNTIF(C4:C28,"HPC")</f>
        <v>0</v>
      </c>
      <c r="D48" s="1">
        <f t="shared" si="58"/>
        <v>0</v>
      </c>
      <c r="E48" s="1">
        <f t="shared" si="58"/>
        <v>0</v>
      </c>
      <c r="F48" s="1">
        <f t="shared" si="58"/>
        <v>0</v>
      </c>
      <c r="G48" s="1">
        <f t="shared" si="58"/>
        <v>0</v>
      </c>
      <c r="H48" s="1">
        <f t="shared" si="58"/>
        <v>0</v>
      </c>
      <c r="I48" s="1">
        <f t="shared" si="58"/>
        <v>0</v>
      </c>
      <c r="J48" s="1">
        <f t="shared" si="58"/>
        <v>0</v>
      </c>
      <c r="K48" s="1">
        <f t="shared" si="58"/>
        <v>0</v>
      </c>
      <c r="L48" s="1">
        <f t="shared" si="58"/>
        <v>0</v>
      </c>
      <c r="M48" s="1">
        <f t="shared" si="58"/>
        <v>0</v>
      </c>
      <c r="N48" s="1">
        <f t="shared" si="58"/>
        <v>0</v>
      </c>
      <c r="O48" s="1">
        <f t="shared" si="58"/>
        <v>0</v>
      </c>
      <c r="P48" s="1">
        <f t="shared" si="58"/>
        <v>0</v>
      </c>
      <c r="Q48" s="1">
        <f t="shared" si="58"/>
        <v>0</v>
      </c>
      <c r="R48" s="1">
        <f t="shared" si="58"/>
        <v>0</v>
      </c>
      <c r="S48" s="1">
        <f t="shared" si="58"/>
        <v>0</v>
      </c>
      <c r="T48" s="1">
        <f t="shared" si="58"/>
        <v>0</v>
      </c>
      <c r="U48" s="1">
        <f t="shared" si="58"/>
        <v>0</v>
      </c>
      <c r="V48" s="1">
        <f t="shared" si="58"/>
        <v>0</v>
      </c>
      <c r="W48" s="1">
        <f t="shared" si="58"/>
        <v>0</v>
      </c>
      <c r="X48" s="1">
        <f>COUNTIF(X4:X28,"HPC")</f>
        <v>0</v>
      </c>
      <c r="Y48" s="1">
        <f>COUNTIF(Y4:Y28,"HPC")</f>
        <v>0</v>
      </c>
      <c r="Z48" s="1">
        <f>COUNTIF(Z4:Z28,"HPC")</f>
        <v>0</v>
      </c>
      <c r="AA48" s="1">
        <f>COUNTIF(AA4:AA28,"HPC")</f>
        <v>0</v>
      </c>
      <c r="AB48" s="1">
        <f t="shared" si="58"/>
        <v>0</v>
      </c>
      <c r="AC48" s="1">
        <f t="shared" si="58"/>
        <v>0</v>
      </c>
      <c r="AD48" s="1">
        <f t="shared" si="58"/>
        <v>0</v>
      </c>
      <c r="AE48" s="1">
        <f t="shared" si="58"/>
        <v>0</v>
      </c>
      <c r="AF48" s="1">
        <f t="shared" si="58"/>
        <v>0</v>
      </c>
      <c r="AG48" s="1">
        <f t="shared" si="58"/>
        <v>0</v>
      </c>
      <c r="AH48" s="1">
        <f t="shared" si="58"/>
        <v>0</v>
      </c>
      <c r="AI48" s="1">
        <f t="shared" ref="AI48:BB48" si="59">COUNTIF(AI4:AI28,"HPC")</f>
        <v>0</v>
      </c>
      <c r="AJ48" s="1">
        <f t="shared" si="59"/>
        <v>0</v>
      </c>
      <c r="AK48" s="1">
        <f t="shared" si="59"/>
        <v>0</v>
      </c>
      <c r="AL48" s="1">
        <f t="shared" si="59"/>
        <v>0</v>
      </c>
      <c r="AM48" s="1">
        <f t="shared" si="59"/>
        <v>0</v>
      </c>
      <c r="AN48" s="1">
        <f t="shared" si="59"/>
        <v>1</v>
      </c>
      <c r="AO48" s="1">
        <f t="shared" si="59"/>
        <v>1</v>
      </c>
      <c r="AP48" s="1">
        <f t="shared" si="59"/>
        <v>1</v>
      </c>
      <c r="AQ48" s="1">
        <f t="shared" si="59"/>
        <v>0</v>
      </c>
      <c r="AR48" s="1">
        <f t="shared" si="59"/>
        <v>0</v>
      </c>
      <c r="AS48" s="1">
        <f t="shared" si="59"/>
        <v>0</v>
      </c>
      <c r="AT48" s="1">
        <f t="shared" si="59"/>
        <v>0</v>
      </c>
      <c r="AU48" s="1">
        <f t="shared" si="59"/>
        <v>0</v>
      </c>
      <c r="AV48" s="1">
        <f t="shared" si="59"/>
        <v>0</v>
      </c>
      <c r="AW48" s="1">
        <f t="shared" si="59"/>
        <v>0</v>
      </c>
      <c r="AX48" s="1">
        <f t="shared" si="59"/>
        <v>0</v>
      </c>
      <c r="AY48" s="1">
        <f t="shared" si="59"/>
        <v>0</v>
      </c>
      <c r="AZ48" s="1">
        <f t="shared" si="59"/>
        <v>0</v>
      </c>
      <c r="BA48" s="1">
        <f t="shared" si="59"/>
        <v>0</v>
      </c>
      <c r="BB48" s="68">
        <f t="shared" si="59"/>
        <v>0</v>
      </c>
    </row>
    <row r="49" spans="2:54">
      <c r="B49" s="49" t="s">
        <v>76</v>
      </c>
      <c r="C49" s="43">
        <f t="shared" ref="C49:W49" si="60">COUNTIF(C4:C28,"HEM/ONC")</f>
        <v>0</v>
      </c>
      <c r="D49" s="1">
        <f t="shared" si="60"/>
        <v>0</v>
      </c>
      <c r="E49" s="1">
        <f t="shared" si="60"/>
        <v>0</v>
      </c>
      <c r="F49" s="1">
        <f t="shared" si="60"/>
        <v>0</v>
      </c>
      <c r="G49" s="1">
        <f t="shared" si="60"/>
        <v>0</v>
      </c>
      <c r="H49" s="1">
        <f t="shared" si="60"/>
        <v>0</v>
      </c>
      <c r="I49" s="1">
        <f t="shared" si="60"/>
        <v>0</v>
      </c>
      <c r="J49" s="1">
        <f t="shared" si="60"/>
        <v>1</v>
      </c>
      <c r="K49" s="1">
        <f t="shared" si="60"/>
        <v>1</v>
      </c>
      <c r="L49" s="1">
        <f t="shared" si="60"/>
        <v>1</v>
      </c>
      <c r="M49" s="1">
        <f t="shared" si="60"/>
        <v>1</v>
      </c>
      <c r="N49" s="1">
        <f t="shared" si="60"/>
        <v>1</v>
      </c>
      <c r="O49" s="1">
        <f t="shared" si="60"/>
        <v>1</v>
      </c>
      <c r="P49" s="1">
        <f t="shared" si="60"/>
        <v>1</v>
      </c>
      <c r="Q49" s="1">
        <f t="shared" si="60"/>
        <v>1</v>
      </c>
      <c r="R49" s="1">
        <f t="shared" si="60"/>
        <v>1</v>
      </c>
      <c r="S49" s="1">
        <f t="shared" si="60"/>
        <v>1</v>
      </c>
      <c r="T49" s="1">
        <f t="shared" si="60"/>
        <v>1</v>
      </c>
      <c r="U49" s="1">
        <f t="shared" si="60"/>
        <v>1</v>
      </c>
      <c r="V49" s="1">
        <f t="shared" si="60"/>
        <v>1</v>
      </c>
      <c r="W49" s="1">
        <f t="shared" si="60"/>
        <v>1</v>
      </c>
      <c r="X49" s="1">
        <f>COUNTIF(X5:X28,"HEM/ONC")</f>
        <v>1</v>
      </c>
      <c r="Y49" s="1">
        <f>COUNTIF(Y5:Y28,"HEM/ONC")</f>
        <v>1</v>
      </c>
      <c r="Z49" s="1">
        <f>COUNTIF(Z5:Z28,"HEM/ONC")</f>
        <v>1</v>
      </c>
      <c r="AA49" s="1">
        <f>COUNTIF(AA5:AA28,"HEM/ONC")</f>
        <v>1</v>
      </c>
      <c r="AB49" s="1">
        <f t="shared" ref="AB49:BB49" si="61">COUNTIF(AB4:AB28,"HEM/ONC")</f>
        <v>1</v>
      </c>
      <c r="AC49" s="1">
        <f t="shared" si="61"/>
        <v>1</v>
      </c>
      <c r="AD49" s="1">
        <f t="shared" si="61"/>
        <v>1</v>
      </c>
      <c r="AE49" s="1">
        <f t="shared" si="61"/>
        <v>1</v>
      </c>
      <c r="AF49" s="1">
        <f t="shared" si="61"/>
        <v>1</v>
      </c>
      <c r="AG49" s="1">
        <f t="shared" si="61"/>
        <v>0</v>
      </c>
      <c r="AH49" s="1">
        <f t="shared" si="61"/>
        <v>0</v>
      </c>
      <c r="AI49" s="1">
        <f t="shared" si="61"/>
        <v>0</v>
      </c>
      <c r="AJ49" s="1">
        <f t="shared" si="61"/>
        <v>0</v>
      </c>
      <c r="AK49" s="1">
        <f t="shared" si="61"/>
        <v>0</v>
      </c>
      <c r="AL49" s="1">
        <f t="shared" si="61"/>
        <v>1</v>
      </c>
      <c r="AM49" s="1">
        <f t="shared" si="61"/>
        <v>0</v>
      </c>
      <c r="AN49" s="1">
        <f t="shared" si="61"/>
        <v>1</v>
      </c>
      <c r="AO49" s="1">
        <f t="shared" si="61"/>
        <v>1</v>
      </c>
      <c r="AP49" s="1">
        <f t="shared" si="61"/>
        <v>0</v>
      </c>
      <c r="AQ49" s="1">
        <f t="shared" si="61"/>
        <v>0</v>
      </c>
      <c r="AR49" s="1">
        <f t="shared" si="61"/>
        <v>1</v>
      </c>
      <c r="AS49" s="1">
        <f t="shared" si="61"/>
        <v>1</v>
      </c>
      <c r="AT49" s="1">
        <f t="shared" si="61"/>
        <v>1</v>
      </c>
      <c r="AU49" s="1">
        <f t="shared" si="61"/>
        <v>1</v>
      </c>
      <c r="AV49" s="1">
        <f t="shared" si="61"/>
        <v>1</v>
      </c>
      <c r="AW49" s="1">
        <f t="shared" si="61"/>
        <v>1</v>
      </c>
      <c r="AX49" s="1">
        <f t="shared" si="61"/>
        <v>0</v>
      </c>
      <c r="AY49" s="1">
        <f t="shared" si="61"/>
        <v>0</v>
      </c>
      <c r="AZ49" s="1">
        <f t="shared" si="61"/>
        <v>0</v>
      </c>
      <c r="BA49" s="1">
        <f t="shared" si="61"/>
        <v>0</v>
      </c>
      <c r="BB49" s="68">
        <f t="shared" si="61"/>
        <v>0</v>
      </c>
    </row>
    <row r="50" spans="2:54">
      <c r="B50" s="35" t="s">
        <v>77</v>
      </c>
      <c r="C50" s="43">
        <f t="shared" ref="C50:W50" si="62">COUNTIF(C4:C28,"ID")</f>
        <v>2</v>
      </c>
      <c r="D50" s="1">
        <f t="shared" si="62"/>
        <v>2</v>
      </c>
      <c r="E50" s="1">
        <f t="shared" si="62"/>
        <v>1</v>
      </c>
      <c r="F50" s="1">
        <f t="shared" si="62"/>
        <v>1</v>
      </c>
      <c r="G50" s="1">
        <f t="shared" si="62"/>
        <v>1</v>
      </c>
      <c r="H50" s="1">
        <f t="shared" si="62"/>
        <v>2</v>
      </c>
      <c r="I50" s="1">
        <f t="shared" si="62"/>
        <v>2</v>
      </c>
      <c r="J50" s="1">
        <f t="shared" si="62"/>
        <v>1</v>
      </c>
      <c r="K50" s="1">
        <f t="shared" si="62"/>
        <v>1</v>
      </c>
      <c r="L50" s="1">
        <f t="shared" si="62"/>
        <v>0</v>
      </c>
      <c r="M50" s="1">
        <f t="shared" si="62"/>
        <v>0</v>
      </c>
      <c r="N50" s="1">
        <f t="shared" si="62"/>
        <v>0</v>
      </c>
      <c r="O50" s="1">
        <f t="shared" si="62"/>
        <v>0</v>
      </c>
      <c r="P50" s="1">
        <f t="shared" si="62"/>
        <v>0</v>
      </c>
      <c r="Q50" s="1">
        <f t="shared" si="62"/>
        <v>0</v>
      </c>
      <c r="R50" s="1">
        <f t="shared" si="62"/>
        <v>1</v>
      </c>
      <c r="S50" s="1">
        <f t="shared" si="62"/>
        <v>1</v>
      </c>
      <c r="T50" s="1">
        <f t="shared" si="62"/>
        <v>1</v>
      </c>
      <c r="U50" s="1">
        <f t="shared" si="62"/>
        <v>1</v>
      </c>
      <c r="V50" s="1">
        <f t="shared" si="62"/>
        <v>1</v>
      </c>
      <c r="W50" s="1">
        <f t="shared" si="62"/>
        <v>1</v>
      </c>
      <c r="X50" s="1">
        <f>COUNTIF(X5:X28,"ID")</f>
        <v>1</v>
      </c>
      <c r="Y50" s="1">
        <f>COUNTIF(Y5:Y28,"ID")</f>
        <v>1</v>
      </c>
      <c r="Z50" s="1">
        <f>COUNTIF(Z5:Z28,"ID")</f>
        <v>0</v>
      </c>
      <c r="AA50" s="1">
        <f>COUNTIF(AA5:AA28,"ID")</f>
        <v>0</v>
      </c>
      <c r="AB50" s="1">
        <f t="shared" ref="AB50:BB50" si="63">COUNTIF(AB4:AB28,"ID")</f>
        <v>0</v>
      </c>
      <c r="AC50" s="1">
        <f t="shared" si="63"/>
        <v>0</v>
      </c>
      <c r="AD50" s="1">
        <f t="shared" si="63"/>
        <v>0</v>
      </c>
      <c r="AE50" s="1">
        <f t="shared" si="63"/>
        <v>0</v>
      </c>
      <c r="AF50" s="1">
        <f t="shared" si="63"/>
        <v>0</v>
      </c>
      <c r="AG50" s="1">
        <f t="shared" si="63"/>
        <v>0</v>
      </c>
      <c r="AH50" s="1">
        <f t="shared" si="63"/>
        <v>0</v>
      </c>
      <c r="AI50" s="1">
        <f t="shared" si="63"/>
        <v>0</v>
      </c>
      <c r="AJ50" s="1">
        <f t="shared" si="63"/>
        <v>0</v>
      </c>
      <c r="AK50" s="1">
        <f t="shared" si="63"/>
        <v>0</v>
      </c>
      <c r="AL50" s="1">
        <f t="shared" si="63"/>
        <v>0</v>
      </c>
      <c r="AM50" s="1">
        <f t="shared" si="63"/>
        <v>0</v>
      </c>
      <c r="AN50" s="1">
        <f t="shared" si="63"/>
        <v>0</v>
      </c>
      <c r="AO50" s="1">
        <f t="shared" si="63"/>
        <v>0</v>
      </c>
      <c r="AP50" s="1">
        <f t="shared" si="63"/>
        <v>0</v>
      </c>
      <c r="AQ50" s="1">
        <f t="shared" si="63"/>
        <v>0</v>
      </c>
      <c r="AR50" s="1">
        <f t="shared" si="63"/>
        <v>0</v>
      </c>
      <c r="AS50" s="1">
        <f t="shared" si="63"/>
        <v>1</v>
      </c>
      <c r="AT50" s="1">
        <f t="shared" si="63"/>
        <v>1</v>
      </c>
      <c r="AU50" s="1">
        <f t="shared" si="63"/>
        <v>0</v>
      </c>
      <c r="AV50" s="1">
        <f t="shared" si="63"/>
        <v>1</v>
      </c>
      <c r="AW50" s="1">
        <f t="shared" si="63"/>
        <v>1</v>
      </c>
      <c r="AX50" s="1">
        <f t="shared" si="63"/>
        <v>0</v>
      </c>
      <c r="AY50" s="1">
        <f t="shared" si="63"/>
        <v>0</v>
      </c>
      <c r="AZ50" s="1">
        <f t="shared" si="63"/>
        <v>0</v>
      </c>
      <c r="BA50" s="1">
        <f t="shared" si="63"/>
        <v>2</v>
      </c>
      <c r="BB50" s="68">
        <f t="shared" si="63"/>
        <v>2</v>
      </c>
    </row>
    <row r="51" spans="2:54">
      <c r="B51" s="36" t="s">
        <v>78</v>
      </c>
      <c r="C51" s="43">
        <f t="shared" ref="C51:W51" si="64">COUNTIF(C4:C28,"NEPH")</f>
        <v>2</v>
      </c>
      <c r="D51" s="1">
        <f t="shared" si="64"/>
        <v>2</v>
      </c>
      <c r="E51" s="1">
        <f t="shared" si="64"/>
        <v>1</v>
      </c>
      <c r="F51" s="1">
        <f t="shared" si="64"/>
        <v>0</v>
      </c>
      <c r="G51" s="1">
        <f t="shared" si="64"/>
        <v>0</v>
      </c>
      <c r="H51" s="1">
        <f t="shared" si="64"/>
        <v>1</v>
      </c>
      <c r="I51" s="1">
        <f t="shared" si="64"/>
        <v>1</v>
      </c>
      <c r="J51" s="1">
        <f t="shared" si="64"/>
        <v>0</v>
      </c>
      <c r="K51" s="1">
        <f t="shared" si="64"/>
        <v>0</v>
      </c>
      <c r="L51" s="1">
        <f t="shared" si="64"/>
        <v>1</v>
      </c>
      <c r="M51" s="1">
        <f t="shared" si="64"/>
        <v>1</v>
      </c>
      <c r="N51" s="1">
        <f t="shared" si="64"/>
        <v>1</v>
      </c>
      <c r="O51" s="1">
        <f t="shared" si="64"/>
        <v>1</v>
      </c>
      <c r="P51" s="1">
        <f t="shared" si="64"/>
        <v>0</v>
      </c>
      <c r="Q51" s="1">
        <f t="shared" si="64"/>
        <v>0</v>
      </c>
      <c r="R51" s="1">
        <f t="shared" si="64"/>
        <v>1</v>
      </c>
      <c r="S51" s="1">
        <f t="shared" si="64"/>
        <v>1</v>
      </c>
      <c r="T51" s="1">
        <f t="shared" si="64"/>
        <v>1</v>
      </c>
      <c r="U51" s="1">
        <f t="shared" si="64"/>
        <v>1</v>
      </c>
      <c r="V51" s="1">
        <f t="shared" si="64"/>
        <v>1</v>
      </c>
      <c r="W51" s="1">
        <f t="shared" si="64"/>
        <v>1</v>
      </c>
      <c r="X51" s="1">
        <f>COUNTIF(X5:X28,"NEPH")</f>
        <v>1</v>
      </c>
      <c r="Y51" s="1">
        <f>COUNTIF(Y5:Y28,"NEPH")</f>
        <v>1</v>
      </c>
      <c r="Z51" s="1">
        <f>COUNTIF(Z5:Z28,"NEPH")</f>
        <v>1</v>
      </c>
      <c r="AA51" s="1">
        <f>COUNTIF(AA5:AA28,"NEPH")</f>
        <v>1</v>
      </c>
      <c r="AB51" s="1">
        <f t="shared" ref="AB51:BB51" si="65">COUNTIF(AB4:AB28,"NEPH")</f>
        <v>0</v>
      </c>
      <c r="AC51" s="1">
        <f t="shared" si="65"/>
        <v>0</v>
      </c>
      <c r="AD51" s="1">
        <f t="shared" si="65"/>
        <v>1</v>
      </c>
      <c r="AE51" s="1">
        <f t="shared" si="65"/>
        <v>1</v>
      </c>
      <c r="AF51" s="1">
        <f t="shared" si="65"/>
        <v>0</v>
      </c>
      <c r="AG51" s="1">
        <f t="shared" si="65"/>
        <v>0</v>
      </c>
      <c r="AH51" s="1">
        <f t="shared" si="65"/>
        <v>0</v>
      </c>
      <c r="AI51" s="1">
        <f t="shared" si="65"/>
        <v>0</v>
      </c>
      <c r="AJ51" s="1">
        <f t="shared" si="65"/>
        <v>0</v>
      </c>
      <c r="AK51" s="1">
        <f t="shared" si="65"/>
        <v>0</v>
      </c>
      <c r="AL51" s="1">
        <f t="shared" si="65"/>
        <v>1</v>
      </c>
      <c r="AM51" s="1">
        <f t="shared" si="65"/>
        <v>1</v>
      </c>
      <c r="AN51" s="1">
        <f t="shared" si="65"/>
        <v>0</v>
      </c>
      <c r="AO51" s="1">
        <f t="shared" si="65"/>
        <v>0</v>
      </c>
      <c r="AP51" s="1">
        <f t="shared" si="65"/>
        <v>0</v>
      </c>
      <c r="AQ51" s="1">
        <f t="shared" si="65"/>
        <v>0</v>
      </c>
      <c r="AR51" s="1">
        <f t="shared" si="65"/>
        <v>0</v>
      </c>
      <c r="AS51" s="1">
        <f t="shared" si="65"/>
        <v>0</v>
      </c>
      <c r="AT51" s="1">
        <f t="shared" si="65"/>
        <v>0</v>
      </c>
      <c r="AU51" s="1">
        <f t="shared" si="65"/>
        <v>0</v>
      </c>
      <c r="AV51" s="1">
        <f t="shared" si="65"/>
        <v>1</v>
      </c>
      <c r="AW51" s="1">
        <f t="shared" si="65"/>
        <v>1</v>
      </c>
      <c r="AX51" s="1">
        <f t="shared" si="65"/>
        <v>1</v>
      </c>
      <c r="AY51" s="1">
        <f t="shared" si="65"/>
        <v>1</v>
      </c>
      <c r="AZ51" s="1">
        <f t="shared" si="65"/>
        <v>0</v>
      </c>
      <c r="BA51" s="1">
        <f t="shared" si="65"/>
        <v>1</v>
      </c>
      <c r="BB51" s="68">
        <f t="shared" si="65"/>
        <v>1</v>
      </c>
    </row>
    <row r="52" spans="2:54">
      <c r="B52" s="52" t="s">
        <v>79</v>
      </c>
      <c r="C52" s="43">
        <f t="shared" ref="C52:W52" si="66">COUNTIF(C4:C28,"NEURO")</f>
        <v>0</v>
      </c>
      <c r="D52" s="1">
        <f t="shared" si="66"/>
        <v>0</v>
      </c>
      <c r="E52" s="1">
        <f t="shared" si="66"/>
        <v>0</v>
      </c>
      <c r="F52" s="1">
        <f t="shared" si="66"/>
        <v>1</v>
      </c>
      <c r="G52" s="1">
        <f t="shared" si="66"/>
        <v>1</v>
      </c>
      <c r="H52" s="1">
        <f t="shared" si="66"/>
        <v>1</v>
      </c>
      <c r="I52" s="1">
        <f t="shared" si="66"/>
        <v>1</v>
      </c>
      <c r="J52" s="1">
        <f t="shared" si="66"/>
        <v>0</v>
      </c>
      <c r="K52" s="1">
        <f t="shared" si="66"/>
        <v>0</v>
      </c>
      <c r="L52" s="1">
        <f t="shared" si="66"/>
        <v>0</v>
      </c>
      <c r="M52" s="1">
        <f t="shared" si="66"/>
        <v>0</v>
      </c>
      <c r="N52" s="1">
        <f t="shared" si="66"/>
        <v>0</v>
      </c>
      <c r="O52" s="1">
        <f t="shared" si="66"/>
        <v>0</v>
      </c>
      <c r="P52" s="1">
        <f t="shared" si="66"/>
        <v>0</v>
      </c>
      <c r="Q52" s="1">
        <f t="shared" si="66"/>
        <v>0</v>
      </c>
      <c r="R52" s="1">
        <f t="shared" si="66"/>
        <v>1</v>
      </c>
      <c r="S52" s="1">
        <f t="shared" si="66"/>
        <v>1</v>
      </c>
      <c r="T52" s="1">
        <f t="shared" si="66"/>
        <v>1</v>
      </c>
      <c r="U52" s="1">
        <f t="shared" si="66"/>
        <v>1</v>
      </c>
      <c r="V52" s="1">
        <f t="shared" si="66"/>
        <v>0</v>
      </c>
      <c r="W52" s="1">
        <f t="shared" si="66"/>
        <v>1</v>
      </c>
      <c r="X52" s="1">
        <f>COUNTIF(X5:X28,"NEURO")</f>
        <v>1</v>
      </c>
      <c r="Y52" s="1">
        <f>COUNTIF(Y5:Y28,"NEURO")</f>
        <v>1</v>
      </c>
      <c r="Z52" s="1">
        <f>COUNTIF(Z5:Z28,"NEURO")</f>
        <v>1</v>
      </c>
      <c r="AA52" s="1">
        <f>COUNTIF(AA5:AA28,"NEURO")</f>
        <v>1</v>
      </c>
      <c r="AB52" s="1">
        <f t="shared" ref="AB52:BB52" si="67">COUNTIF(AB4:AB28,"NEURO")</f>
        <v>0</v>
      </c>
      <c r="AC52" s="1">
        <f t="shared" si="67"/>
        <v>1</v>
      </c>
      <c r="AD52" s="1">
        <f t="shared" si="67"/>
        <v>1</v>
      </c>
      <c r="AE52" s="1">
        <f t="shared" si="67"/>
        <v>1</v>
      </c>
      <c r="AF52" s="1">
        <f t="shared" si="67"/>
        <v>1</v>
      </c>
      <c r="AG52" s="1">
        <f t="shared" si="67"/>
        <v>1</v>
      </c>
      <c r="AH52" s="1">
        <f t="shared" si="67"/>
        <v>1</v>
      </c>
      <c r="AI52" s="1">
        <f t="shared" si="67"/>
        <v>1</v>
      </c>
      <c r="AJ52" s="1">
        <f t="shared" si="67"/>
        <v>1</v>
      </c>
      <c r="AK52" s="1">
        <f t="shared" si="67"/>
        <v>1</v>
      </c>
      <c r="AL52" s="1">
        <f t="shared" si="67"/>
        <v>0</v>
      </c>
      <c r="AM52" s="1">
        <f t="shared" si="67"/>
        <v>0</v>
      </c>
      <c r="AN52" s="1">
        <f t="shared" si="67"/>
        <v>0</v>
      </c>
      <c r="AO52" s="1">
        <f t="shared" si="67"/>
        <v>0</v>
      </c>
      <c r="AP52" s="1">
        <f t="shared" si="67"/>
        <v>0</v>
      </c>
      <c r="AQ52" s="1">
        <f t="shared" si="67"/>
        <v>0</v>
      </c>
      <c r="AR52" s="1">
        <f t="shared" si="67"/>
        <v>1</v>
      </c>
      <c r="AS52" s="1">
        <f t="shared" si="67"/>
        <v>2</v>
      </c>
      <c r="AT52" s="1">
        <f t="shared" si="67"/>
        <v>1</v>
      </c>
      <c r="AU52" s="1">
        <f t="shared" si="67"/>
        <v>1</v>
      </c>
      <c r="AV52" s="1">
        <f t="shared" si="67"/>
        <v>2</v>
      </c>
      <c r="AW52" s="1">
        <f t="shared" si="67"/>
        <v>1</v>
      </c>
      <c r="AX52" s="1">
        <f t="shared" si="67"/>
        <v>1</v>
      </c>
      <c r="AY52" s="1">
        <f t="shared" si="67"/>
        <v>1</v>
      </c>
      <c r="AZ52" s="1">
        <f t="shared" si="67"/>
        <v>0</v>
      </c>
      <c r="BA52" s="1">
        <f t="shared" si="67"/>
        <v>0</v>
      </c>
      <c r="BB52" s="68">
        <f t="shared" si="67"/>
        <v>0</v>
      </c>
    </row>
    <row r="53" spans="2:54">
      <c r="B53" s="42" t="s">
        <v>80</v>
      </c>
      <c r="C53" s="43">
        <f t="shared" ref="C53:W53" si="68">COUNTIF(C4:C28,"PULM")</f>
        <v>1</v>
      </c>
      <c r="D53" s="1">
        <f t="shared" si="68"/>
        <v>1</v>
      </c>
      <c r="E53" s="1">
        <f t="shared" si="68"/>
        <v>1</v>
      </c>
      <c r="F53" s="1">
        <f t="shared" si="68"/>
        <v>1</v>
      </c>
      <c r="G53" s="1">
        <f t="shared" si="68"/>
        <v>1</v>
      </c>
      <c r="H53" s="1">
        <f t="shared" si="68"/>
        <v>1</v>
      </c>
      <c r="I53" s="1">
        <f t="shared" si="68"/>
        <v>1</v>
      </c>
      <c r="J53" s="1">
        <f t="shared" si="68"/>
        <v>0</v>
      </c>
      <c r="K53" s="1">
        <f t="shared" si="68"/>
        <v>0</v>
      </c>
      <c r="L53" s="1">
        <f t="shared" si="68"/>
        <v>0</v>
      </c>
      <c r="M53" s="1">
        <f t="shared" si="68"/>
        <v>0</v>
      </c>
      <c r="N53" s="1">
        <f t="shared" si="68"/>
        <v>0</v>
      </c>
      <c r="O53" s="1">
        <f t="shared" si="68"/>
        <v>0</v>
      </c>
      <c r="P53" s="1">
        <f t="shared" si="68"/>
        <v>1</v>
      </c>
      <c r="Q53" s="1">
        <f t="shared" si="68"/>
        <v>1</v>
      </c>
      <c r="R53" s="1">
        <f t="shared" si="68"/>
        <v>0</v>
      </c>
      <c r="S53" s="1">
        <f t="shared" si="68"/>
        <v>0</v>
      </c>
      <c r="T53" s="1">
        <f t="shared" si="68"/>
        <v>0</v>
      </c>
      <c r="U53" s="1">
        <f t="shared" si="68"/>
        <v>0</v>
      </c>
      <c r="V53" s="1">
        <f t="shared" si="68"/>
        <v>0</v>
      </c>
      <c r="W53" s="1">
        <f t="shared" si="68"/>
        <v>0</v>
      </c>
      <c r="X53" s="1">
        <f>COUNTIF(X5:X28,"PULM")</f>
        <v>0</v>
      </c>
      <c r="Y53" s="1">
        <f>COUNTIF(Y5:Y28,"PULM")</f>
        <v>0</v>
      </c>
      <c r="Z53" s="1">
        <f>COUNTIF(Z5:Z28,"PULM")</f>
        <v>1</v>
      </c>
      <c r="AA53" s="1">
        <f>COUNTIF(AA5:AA28,"PULM")</f>
        <v>1</v>
      </c>
      <c r="AB53" s="1">
        <f t="shared" ref="AB53:BB53" si="69">COUNTIF(AB4:AB28,"PULM")</f>
        <v>1</v>
      </c>
      <c r="AC53" s="1">
        <f t="shared" si="69"/>
        <v>0</v>
      </c>
      <c r="AD53" s="1">
        <f t="shared" si="69"/>
        <v>0</v>
      </c>
      <c r="AE53" s="1">
        <f t="shared" si="69"/>
        <v>0</v>
      </c>
      <c r="AF53" s="1">
        <f t="shared" si="69"/>
        <v>1</v>
      </c>
      <c r="AG53" s="1">
        <f t="shared" si="69"/>
        <v>1</v>
      </c>
      <c r="AH53" s="1">
        <f t="shared" si="69"/>
        <v>0</v>
      </c>
      <c r="AI53" s="1">
        <f t="shared" si="69"/>
        <v>0</v>
      </c>
      <c r="AJ53" s="1">
        <f t="shared" si="69"/>
        <v>0</v>
      </c>
      <c r="AK53" s="1">
        <f t="shared" si="69"/>
        <v>0</v>
      </c>
      <c r="AL53" s="1">
        <f t="shared" si="69"/>
        <v>1</v>
      </c>
      <c r="AM53" s="1">
        <f t="shared" si="69"/>
        <v>1</v>
      </c>
      <c r="AN53" s="1">
        <f t="shared" si="69"/>
        <v>1</v>
      </c>
      <c r="AO53" s="1">
        <f t="shared" si="69"/>
        <v>1</v>
      </c>
      <c r="AP53" s="1">
        <f t="shared" si="69"/>
        <v>0</v>
      </c>
      <c r="AQ53" s="1">
        <f t="shared" si="69"/>
        <v>0</v>
      </c>
      <c r="AR53" s="1">
        <f t="shared" si="69"/>
        <v>1</v>
      </c>
      <c r="AS53" s="1">
        <f t="shared" si="69"/>
        <v>1</v>
      </c>
      <c r="AT53" s="1">
        <f t="shared" si="69"/>
        <v>0</v>
      </c>
      <c r="AU53" s="1">
        <f t="shared" si="69"/>
        <v>0</v>
      </c>
      <c r="AV53" s="1">
        <f t="shared" si="69"/>
        <v>0</v>
      </c>
      <c r="AW53" s="1">
        <f t="shared" si="69"/>
        <v>0</v>
      </c>
      <c r="AX53" s="1">
        <f t="shared" si="69"/>
        <v>0</v>
      </c>
      <c r="AY53" s="1">
        <f t="shared" si="69"/>
        <v>0</v>
      </c>
      <c r="AZ53" s="1">
        <f t="shared" si="69"/>
        <v>2</v>
      </c>
      <c r="BA53" s="1">
        <f t="shared" si="69"/>
        <v>2</v>
      </c>
      <c r="BB53" s="68">
        <f t="shared" si="69"/>
        <v>2</v>
      </c>
    </row>
    <row r="54" spans="2:54" ht="15.75" thickBot="1">
      <c r="B54" s="51" t="s">
        <v>81</v>
      </c>
      <c r="C54" s="54">
        <f t="shared" ref="C54:W54" si="70">COUNTIF(C4:C28,"RHEUM")</f>
        <v>1</v>
      </c>
      <c r="D54" s="69">
        <f t="shared" si="70"/>
        <v>1</v>
      </c>
      <c r="E54" s="69">
        <f t="shared" si="70"/>
        <v>1</v>
      </c>
      <c r="F54" s="69">
        <f t="shared" si="70"/>
        <v>1</v>
      </c>
      <c r="G54" s="69">
        <f t="shared" si="70"/>
        <v>1</v>
      </c>
      <c r="H54" s="69">
        <f t="shared" si="70"/>
        <v>1</v>
      </c>
      <c r="I54" s="69">
        <f t="shared" si="70"/>
        <v>1</v>
      </c>
      <c r="J54" s="69">
        <f t="shared" si="70"/>
        <v>1</v>
      </c>
      <c r="K54" s="69">
        <f t="shared" si="70"/>
        <v>1</v>
      </c>
      <c r="L54" s="69">
        <f t="shared" si="70"/>
        <v>1</v>
      </c>
      <c r="M54" s="69">
        <f t="shared" si="70"/>
        <v>0</v>
      </c>
      <c r="N54" s="69">
        <f t="shared" si="70"/>
        <v>0</v>
      </c>
      <c r="O54" s="69">
        <f t="shared" si="70"/>
        <v>0</v>
      </c>
      <c r="P54" s="69">
        <f t="shared" si="70"/>
        <v>0</v>
      </c>
      <c r="Q54" s="69">
        <f t="shared" si="70"/>
        <v>0</v>
      </c>
      <c r="R54" s="69">
        <f t="shared" si="70"/>
        <v>0</v>
      </c>
      <c r="S54" s="69">
        <f t="shared" si="70"/>
        <v>0</v>
      </c>
      <c r="T54" s="69">
        <f t="shared" si="70"/>
        <v>0</v>
      </c>
      <c r="U54" s="69">
        <f t="shared" si="70"/>
        <v>0</v>
      </c>
      <c r="V54" s="69">
        <f t="shared" si="70"/>
        <v>0</v>
      </c>
      <c r="W54" s="69">
        <f t="shared" si="70"/>
        <v>0</v>
      </c>
      <c r="X54" s="69">
        <f>COUNTIF(X5:X28,"RHEUM")</f>
        <v>1</v>
      </c>
      <c r="Y54" s="69">
        <f>COUNTIF(Y5:Y28,"RHEUM")</f>
        <v>1</v>
      </c>
      <c r="Z54" s="69">
        <f>COUNTIF(Z5:Z28,"RHEUM")</f>
        <v>1</v>
      </c>
      <c r="AA54" s="69">
        <f>COUNTIF(AA5:AA28,"RHEUM")</f>
        <v>1</v>
      </c>
      <c r="AB54" s="69">
        <f t="shared" ref="AB54:BB54" si="71">COUNTIF(AB4:AB28,"RHEUM")</f>
        <v>1</v>
      </c>
      <c r="AC54" s="69">
        <f t="shared" si="71"/>
        <v>1</v>
      </c>
      <c r="AD54" s="69">
        <f t="shared" si="71"/>
        <v>1</v>
      </c>
      <c r="AE54" s="69">
        <f t="shared" si="71"/>
        <v>1</v>
      </c>
      <c r="AF54" s="69">
        <f t="shared" si="71"/>
        <v>0</v>
      </c>
      <c r="AG54" s="69">
        <f t="shared" si="71"/>
        <v>0</v>
      </c>
      <c r="AH54" s="69">
        <f t="shared" si="71"/>
        <v>1</v>
      </c>
      <c r="AI54" s="69">
        <f t="shared" si="71"/>
        <v>1</v>
      </c>
      <c r="AJ54" s="69">
        <f t="shared" si="71"/>
        <v>1</v>
      </c>
      <c r="AK54" s="69">
        <f t="shared" si="71"/>
        <v>1</v>
      </c>
      <c r="AL54" s="69">
        <f t="shared" si="71"/>
        <v>1</v>
      </c>
      <c r="AM54" s="69">
        <f t="shared" si="71"/>
        <v>1</v>
      </c>
      <c r="AN54" s="69">
        <f t="shared" si="71"/>
        <v>1</v>
      </c>
      <c r="AO54" s="69">
        <f t="shared" si="71"/>
        <v>1</v>
      </c>
      <c r="AP54" s="69">
        <f t="shared" si="71"/>
        <v>0</v>
      </c>
      <c r="AQ54" s="69">
        <f t="shared" si="71"/>
        <v>1</v>
      </c>
      <c r="AR54" s="69">
        <f t="shared" si="71"/>
        <v>1</v>
      </c>
      <c r="AS54" s="69">
        <f t="shared" si="71"/>
        <v>1</v>
      </c>
      <c r="AT54" s="69">
        <f t="shared" si="71"/>
        <v>1</v>
      </c>
      <c r="AU54" s="69">
        <f t="shared" si="71"/>
        <v>1</v>
      </c>
      <c r="AV54" s="69">
        <f t="shared" si="71"/>
        <v>0</v>
      </c>
      <c r="AW54" s="69">
        <f t="shared" si="71"/>
        <v>1</v>
      </c>
      <c r="AX54" s="69">
        <f t="shared" si="71"/>
        <v>1</v>
      </c>
      <c r="AY54" s="69">
        <f t="shared" si="71"/>
        <v>1</v>
      </c>
      <c r="AZ54" s="69">
        <f t="shared" si="71"/>
        <v>2</v>
      </c>
      <c r="BA54" s="69">
        <f t="shared" si="71"/>
        <v>1</v>
      </c>
      <c r="BB54" s="70">
        <f t="shared" si="71"/>
        <v>1</v>
      </c>
    </row>
    <row r="55" spans="2:54">
      <c r="B55" s="71" t="s">
        <v>64</v>
      </c>
    </row>
  </sheetData>
  <mergeCells count="5">
    <mergeCell ref="A4:A9"/>
    <mergeCell ref="A10:A15"/>
    <mergeCell ref="A16:A21"/>
    <mergeCell ref="A22:A25"/>
    <mergeCell ref="A26:A28"/>
  </mergeCells>
  <pageMargins left="0.7" right="0.7" top="0.75" bottom="0.75" header="0.3" footer="0.3"/>
  <pageSetup paperSize="5" scale="18" fitToHeight="0" orientation="landscape" r:id="rId1"/>
  <colBreaks count="2" manualBreakCount="2">
    <brk id="29" max="54" man="1"/>
    <brk id="54" max="54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6E4C7740991444A1CA61B8FF72D7C0" ma:contentTypeVersion="11" ma:contentTypeDescription="Create a new document." ma:contentTypeScope="" ma:versionID="befa914da761fab46c936447a70b1326">
  <xsd:schema xmlns:xsd="http://www.w3.org/2001/XMLSchema" xmlns:xs="http://www.w3.org/2001/XMLSchema" xmlns:p="http://schemas.microsoft.com/office/2006/metadata/properties" xmlns:ns3="b064a5c3-e03d-4c85-8fe7-540efea17859" targetNamespace="http://schemas.microsoft.com/office/2006/metadata/properties" ma:root="true" ma:fieldsID="0485121a28f50920414d2e1e23a3e618" ns3:_="">
    <xsd:import namespace="b064a5c3-e03d-4c85-8fe7-540efea1785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4a5c3-e03d-4c85-8fe7-540efea178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64a5c3-e03d-4c85-8fe7-540efea17859" xsi:nil="true"/>
  </documentManagement>
</p:properties>
</file>

<file path=customXml/itemProps1.xml><?xml version="1.0" encoding="utf-8"?>
<ds:datastoreItem xmlns:ds="http://schemas.openxmlformats.org/officeDocument/2006/customXml" ds:itemID="{E6ACADEA-C882-41B6-A9E9-EDDDCC1CC206}"/>
</file>

<file path=customXml/itemProps2.xml><?xml version="1.0" encoding="utf-8"?>
<ds:datastoreItem xmlns:ds="http://schemas.openxmlformats.org/officeDocument/2006/customXml" ds:itemID="{FD6FFF87-A508-4F71-9FC5-56BEABE7D3EC}"/>
</file>

<file path=customXml/itemProps3.xml><?xml version="1.0" encoding="utf-8"?>
<ds:datastoreItem xmlns:ds="http://schemas.openxmlformats.org/officeDocument/2006/customXml" ds:itemID="{6899A86C-1ADA-4226-B7AE-0D8464C7FA7D}"/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HCA Healthcare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Medrano Santos</dc:creator>
  <cp:keywords/>
  <dc:description/>
  <cp:lastModifiedBy/>
  <cp:revision/>
  <dcterms:created xsi:type="dcterms:W3CDTF">2025-05-30T16:14:04Z</dcterms:created>
  <dcterms:modified xsi:type="dcterms:W3CDTF">2026-04-28T22:36:32Z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0x010100326E4C7740991444A1CA61B8FF72D7C0</vt:lpwstr>
  </property>
</Properties>
</file>